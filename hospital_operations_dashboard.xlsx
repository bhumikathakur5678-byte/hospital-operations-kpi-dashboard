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Metric Definitions" sheetId="6" state="visible" r:id="rId6"/>
  </sheets>
  <definedNames>
    <definedName name="Month_Col">Data!$B$2:$B$601</definedName>
    <definedName name="Site_Col">Data!$C$2:$C$601</definedName>
    <definedName name="Dept_Col">Data!$D$2:$D$601</definedName>
    <definedName name="Admissions">Data!$E$2:$E$601</definedName>
    <definedName name="Discharges">Data!$F$2:$F$601</definedName>
    <definedName name="Bed_Days">Data!$G$2:$G$601</definedName>
    <definedName name="Available_Bed_Days">Data!$H$2:$H$601</definedName>
    <definedName name="LOS">Data!$I$2:$I$601</definedName>
    <definedName name="Billing_Days">Data!$J$2:$J$601</definedName>
    <definedName name="Claims_Submitted">Data!$K$2:$K$601</definedName>
    <definedName name="Claims_Denied">Data!$L$2:$L$601</definedName>
    <definedName name="Summary_Months">Summary!$A$19:$A$30</definedName>
    <definedName name="_xlnm._FilterDatabase" localSheetId="1" hidden="1">'Data'!$A$1:$L$601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m yyyy"/>
    <numFmt numFmtId="165" formatCode="0.0"/>
    <numFmt numFmtId="166" formatCode="0.0%"/>
    <numFmt numFmtId="167" formatCode="+#,##0;-#,##0;0"/>
    <numFmt numFmtId="168" formatCode="+0.0;-0.0;0.0"/>
    <numFmt numFmtId="169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C00000"/>
      <sz val="10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b val="1"/>
      <color rgb="00008000"/>
      <sz val="12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2" fontId="4" fillId="3" borderId="1" pivotButton="0" quotePrefix="0" xfId="0"/>
    <xf numFmtId="0" fontId="2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2" fontId="5" fillId="0" borderId="1" pivotButton="0" quotePrefix="0" xfId="0"/>
    <xf numFmtId="165" fontId="5" fillId="0" borderId="1" pivotButton="0" quotePrefix="0" xfId="0"/>
    <xf numFmtId="0" fontId="3" fillId="4" borderId="1" pivotButton="0" quotePrefix="0" xfId="0"/>
    <xf numFmtId="3" fontId="9" fillId="4" borderId="1" pivotButton="0" quotePrefix="0" xfId="0"/>
    <xf numFmtId="166" fontId="9" fillId="4" borderId="1" pivotButton="0" quotePrefix="0" xfId="0"/>
    <xf numFmtId="2" fontId="9" fillId="4" borderId="1" pivotButton="0" quotePrefix="0" xfId="0"/>
    <xf numFmtId="165" fontId="9" fillId="4" borderId="1" pivotButton="0" quotePrefix="0" xfId="0"/>
    <xf numFmtId="164" fontId="4" fillId="0" borderId="1" pivotButton="0" quotePrefix="0" xfId="0"/>
    <xf numFmtId="164" fontId="6" fillId="0" borderId="1" pivotButton="0" quotePrefix="0" xfId="0"/>
    <xf numFmtId="166" fontId="4" fillId="3" borderId="1" pivotButton="0" quotePrefix="0" xfId="0"/>
    <xf numFmtId="0" fontId="4" fillId="3" borderId="1" pivotButton="0" quotePrefix="0" xfId="0"/>
    <xf numFmtId="0" fontId="9" fillId="0" borderId="1" applyAlignment="1" pivotButton="0" quotePrefix="0" xfId="0">
      <alignment horizontal="center"/>
    </xf>
    <xf numFmtId="0" fontId="8" fillId="0" borderId="1" pivotButton="0" quotePrefix="0" xfId="0"/>
    <xf numFmtId="3" fontId="4" fillId="3" borderId="1" pivotButton="0" quotePrefix="0" xfId="0"/>
    <xf numFmtId="165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0" borderId="1" pivotButton="0" quotePrefix="0" xfId="0"/>
    <xf numFmtId="2" fontId="10" fillId="4" borderId="1" pivotButton="0" quotePrefix="0" xfId="0"/>
    <xf numFmtId="2" fontId="6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6" fontId="10" fillId="4" borderId="1" pivotButton="0" quotePrefix="0" xfId="0"/>
    <xf numFmtId="166" fontId="6" fillId="0" borderId="1" pivotButton="0" quotePrefix="0" xfId="0"/>
    <xf numFmtId="3" fontId="10" fillId="4" borderId="1" pivotButton="0" quotePrefix="0" xfId="0"/>
    <xf numFmtId="3" fontId="6" fillId="0" borderId="1" pivotButton="0" quotePrefix="0" xfId="0"/>
    <xf numFmtId="167" fontId="5" fillId="0" borderId="1" pivotButton="0" quotePrefix="0" xfId="0"/>
    <xf numFmtId="165" fontId="10" fillId="4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2" fillId="0" borderId="0" pivotButton="0" quotePrefix="0" xfId="0"/>
    <xf numFmtId="165" fontId="2" fillId="0" borderId="0" pivotButton="0" quotePrefix="0" xfId="0"/>
    <xf numFmtId="164" fontId="6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6" fontId="5" fillId="0" borderId="1" pivotButton="0" quotePrefix="0" xfId="0"/>
    <xf numFmtId="165" fontId="5" fillId="0" borderId="1" pivotButton="0" quotePrefix="0" xfId="0"/>
    <xf numFmtId="166" fontId="9" fillId="4" borderId="1" pivotButton="0" quotePrefix="0" xfId="0"/>
    <xf numFmtId="165" fontId="9" fillId="4" borderId="1" pivotButton="0" quotePrefix="0" xfId="0"/>
    <xf numFmtId="164" fontId="4" fillId="0" borderId="1" pivotButton="0" quotePrefix="0" xfId="0"/>
    <xf numFmtId="164" fontId="6" fillId="0" borderId="1" pivotButton="0" quotePrefix="0" xfId="0"/>
    <xf numFmtId="166" fontId="4" fillId="3" borderId="1" pivotButton="0" quotePrefix="0" xfId="0"/>
    <xf numFmtId="165" fontId="4" fillId="3" borderId="1" pivotButton="0" quotePrefix="0" xfId="0"/>
    <xf numFmtId="164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6" fontId="10" fillId="4" borderId="1" pivotButton="0" quotePrefix="0" xfId="0"/>
    <xf numFmtId="166" fontId="6" fillId="0" borderId="1" pivotButton="0" quotePrefix="0" xfId="0"/>
    <xf numFmtId="167" fontId="5" fillId="0" borderId="1" pivotButton="0" quotePrefix="0" xfId="0"/>
    <xf numFmtId="165" fontId="10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LOS by month (days, weighted)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'Summary'!G18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'Summary'!$A$19:$A$30</f>
            </numRef>
          </cat>
          <val>
            <numRef>
              <f>'Summary'!$G$19:$G$30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Bed occupancy rate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'Summary'!$A$19:$A$30</f>
            </numRef>
          </cat>
          <val>
            <numRef>
              <f>'Summary'!$F$19:$F$30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Occupancy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 denial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'Summary'!$A$8:$A$12</f>
            </numRef>
          </cat>
          <val>
            <numRef>
              <f>'Summary'!$K$8:$K$12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vs discharges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'Summary'!$A$19:$A$30</f>
            </numRef>
          </cat>
          <val>
            <numRef>
              <f>'Summary'!$B$19:$B$30</f>
            </numRef>
          </val>
        </ser>
        <ser>
          <idx val="1"/>
          <order val="1"/>
          <tx>
            <strRef>
              <f>'Summary'!C18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'Summary'!$A$19:$A$30</f>
            </numRef>
          </cat>
          <val>
            <numRef>
              <f>'Summary'!$C$19:$C$30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>
      <c r="A1" s="1" t="n"/>
      <c r="B1" s="1" t="n"/>
    </row>
    <row r="2">
      <c r="A2" s="1" t="n"/>
      <c r="B2" s="2" t="inlineStr">
        <is>
          <t>Hospital Operations Dashboard</t>
        </is>
      </c>
    </row>
    <row r="3">
      <c r="A3" s="1" t="n"/>
      <c r="B3" s="3" t="inlineStr"/>
    </row>
    <row r="4">
      <c r="A4" s="1" t="n"/>
      <c r="B4" s="4" t="inlineStr">
        <is>
          <t>PURPOSE</t>
        </is>
      </c>
    </row>
    <row r="5">
      <c r="A5" s="1" t="n"/>
      <c r="B5" s="3" t="inlineStr">
        <is>
          <t>A monthly operations pack for a ten-site hospital network across five departments. It takes a flat transactional table,</t>
        </is>
      </c>
    </row>
    <row r="6">
      <c r="A6" s="1" t="n"/>
      <c r="B6" s="3" t="inlineStr">
        <is>
          <t>derives per-row metrics, summarises them by department and by month with SUMIFS / SUMPRODUCT, flags threshold breaches,</t>
        </is>
      </c>
    </row>
    <row r="7">
      <c r="A7" s="1" t="n"/>
      <c r="B7" s="3" t="inlineStr">
        <is>
          <t>and shows the result on a single dashboard with KPI cards and four charts. The structure mirrors a hospital analytics</t>
        </is>
      </c>
    </row>
    <row r="8">
      <c r="A8" s="1" t="n"/>
      <c r="B8" s="3" t="inlineStr">
        <is>
          <t>internship deliverable: define the KPIs, build the reporting layer, monitor against targets.</t>
        </is>
      </c>
    </row>
    <row r="9">
      <c r="A9" s="1" t="n"/>
      <c r="B9" s="3" t="inlineStr"/>
    </row>
    <row r="10">
      <c r="A10" s="1" t="n"/>
      <c r="B10" s="4" t="inlineStr">
        <is>
          <t>THE FIVE METRICS (be able to define all of these cold)</t>
        </is>
      </c>
    </row>
    <row r="11">
      <c r="A11" s="1" t="n"/>
      <c r="B11" s="3" t="inlineStr">
        <is>
          <t>1. Average Length of Stay (days) = Total bed days / Discharges. Weighted by discharges when aggregated.</t>
        </is>
      </c>
    </row>
    <row r="12">
      <c r="A12" s="1" t="n"/>
      <c r="B12" s="3" t="inlineStr">
        <is>
          <t>2. Bed Occupancy Rate (%) = Total bed days used / Available bed days (beds x days in month).</t>
        </is>
      </c>
    </row>
    <row r="13">
      <c r="A13" s="1" t="n"/>
      <c r="B13" s="3" t="inlineStr">
        <is>
          <t>3. Admissions and Discharges (counts) = patients admitted and patients discharged in the month. Their gap is the change in census.</t>
        </is>
      </c>
    </row>
    <row r="14">
      <c r="A14" s="1" t="n"/>
      <c r="B14" s="3" t="inlineStr">
        <is>
          <t>4. Billing Cycle Time (days) = days from discharge to bill finalisation. Weighted by discharges when aggregated.</t>
        </is>
      </c>
    </row>
    <row r="15">
      <c r="A15" s="1" t="n"/>
      <c r="B15" s="3" t="inlineStr">
        <is>
          <t>5. Claim Denial Rate (%) = Claims denied / Claims submitted.</t>
        </is>
      </c>
    </row>
    <row r="16">
      <c r="A16" s="1" t="n"/>
      <c r="B16" s="3" t="inlineStr"/>
    </row>
    <row r="17">
      <c r="A17" s="1" t="n"/>
      <c r="B17" s="4" t="inlineStr">
        <is>
          <t>AN ANALYTICAL POINT WORTH RAISING IN INTERVIEW</t>
        </is>
      </c>
    </row>
    <row r="18">
      <c r="A18" s="1" t="n"/>
      <c r="B18" s="3" t="inlineStr">
        <is>
          <t>Average LOS across departments is a weighted average (total bed days / total discharges), not a plain average of department averages.</t>
        </is>
      </c>
    </row>
    <row r="19">
      <c r="A19" s="1" t="n"/>
      <c r="B19" s="3" t="inlineStr">
        <is>
          <t>A plain average would let a 40-discharge Nephrology row count as much as a 180-discharge General Medicine row. The Summary sheet</t>
        </is>
      </c>
    </row>
    <row r="20">
      <c r="A20" s="1" t="n"/>
      <c r="B20" s="3" t="inlineStr">
        <is>
          <t>uses SUMPRODUCT for exactly this reason. The same applies to billing cycle time and denial rate.</t>
        </is>
      </c>
    </row>
    <row r="21">
      <c r="A21" s="1" t="n"/>
      <c r="B21" s="3" t="inlineStr"/>
    </row>
    <row r="22">
      <c r="A22" s="1" t="n"/>
      <c r="B22" s="4" t="inlineStr">
        <is>
          <t>HOW TO READ THE SHEETS</t>
        </is>
      </c>
    </row>
    <row r="23">
      <c r="A23" s="1" t="n"/>
      <c r="B23" s="3" t="inlineStr">
        <is>
          <t>Data               -&gt; 600 synthetic rows: 10 sites x 5 departments x 12 months. Typed-in values, no formulas.</t>
        </is>
      </c>
    </row>
    <row r="24">
      <c r="A24" s="1" t="n"/>
      <c r="B24" s="3" t="inlineStr">
        <is>
          <t>Calculations       -&gt; per-row derived metrics (occupancy, denial rate, discharge variance, LOS check). All formulas.</t>
        </is>
      </c>
    </row>
    <row r="25">
      <c r="A25" s="1" t="n"/>
      <c r="B25" s="3" t="inlineStr">
        <is>
          <t>Summary            -&gt; metrics by department, metrics by month, and a threshold table with red / amber / green flags.</t>
        </is>
      </c>
    </row>
    <row r="26">
      <c r="A26" s="1" t="n"/>
      <c r="B26" s="3" t="inlineStr">
        <is>
          <t>Dashboard          -&gt; KPI cards (current month vs prior month) and four native Excel charts.</t>
        </is>
      </c>
    </row>
    <row r="27">
      <c r="A27" s="1" t="n"/>
      <c r="B27" s="3" t="inlineStr">
        <is>
          <t>Metric Definitions -&gt; one row per metric. EDIT THIS IN YOUR OWN WORDS before you use the file.</t>
        </is>
      </c>
    </row>
    <row r="28">
      <c r="A28" s="1" t="n"/>
      <c r="B28" s="3" t="inlineStr"/>
    </row>
    <row r="29">
      <c r="A29" s="1" t="n"/>
      <c r="B29" s="4" t="inlineStr">
        <is>
          <t>COLOUR LEGEND</t>
        </is>
      </c>
    </row>
    <row r="30">
      <c r="A30" s="1" t="n"/>
      <c r="B30" s="5" t="inlineStr">
        <is>
          <t>Blue text, yellow fill = input you may change (threshold targets, tolerance)</t>
        </is>
      </c>
    </row>
    <row r="31">
      <c r="A31" s="1" t="n"/>
      <c r="B31" s="6" t="inlineStr">
        <is>
          <t>Black text = calculated on this sheet</t>
        </is>
      </c>
    </row>
    <row r="32">
      <c r="A32" s="1" t="n"/>
      <c r="B32" s="7" t="inlineStr">
        <is>
          <t>Green text = pulled from another sheet</t>
        </is>
      </c>
    </row>
    <row r="33">
      <c r="A33" s="1" t="n"/>
      <c r="B33" s="3" t="inlineStr"/>
    </row>
    <row r="34">
      <c r="A34" s="1" t="n"/>
      <c r="B34" s="4" t="inlineStr">
        <is>
          <t>NOTE ON THE DATA</t>
        </is>
      </c>
    </row>
    <row r="35">
      <c r="A35" s="1" t="n"/>
      <c r="B35" s="3" t="inlineStr">
        <is>
          <t>The spec called for ~600 rows of department-by-month data. Five departments x twelve months is only 60 rows, so the table is</t>
        </is>
      </c>
    </row>
    <row r="36">
      <c r="A36" s="1" t="n"/>
      <c r="B36" s="3" t="inlineStr">
        <is>
          <t>modelled as a ten-site network (Site column) to reach 600 rows while keeping every row a meaningful department-month record.</t>
        </is>
      </c>
    </row>
    <row r="37">
      <c r="A37" s="1" t="n"/>
      <c r="B37" s="3" t="inlineStr">
        <is>
          <t>Departments have distinct profiles (Nephrology longer stays, Orthopaedics higher denials, Paediatrics short stays) and there is</t>
        </is>
      </c>
    </row>
    <row r="38">
      <c r="A38" s="1" t="n"/>
      <c r="B38" s="3" t="inlineStr">
        <is>
          <t>mild winter / monsoon seasonality in admissions. Data is generated by build_hospital_dashboard.py with a fixed random seed.</t>
        </is>
      </c>
    </row>
    <row r="39">
      <c r="A39" s="1" t="n"/>
      <c r="B39" s="3" t="inlineStr"/>
    </row>
    <row r="40">
      <c r="A40" s="1" t="n"/>
      <c r="B40" s="8" t="inlineStr">
        <is>
          <t>DISCLAIMER</t>
        </is>
      </c>
    </row>
    <row r="41">
      <c r="A41" s="1" t="n"/>
      <c r="B41" s="8" t="inlineStr">
        <is>
          <t>All data in this workbook is synthetically generated for demonstration purposes.</t>
        </is>
      </c>
    </row>
    <row r="42">
      <c r="A42" s="1" t="n"/>
      <c r="B42" s="8" t="inlineStr">
        <is>
          <t>It contains no real patient, hospital, or payer data.</t>
        </is>
      </c>
    </row>
    <row r="43">
      <c r="A43" s="1" t="n"/>
      <c r="B43" s="3" t="inlineStr"/>
    </row>
    <row r="44">
      <c r="A44" s="1" t="n"/>
      <c r="B44" s="9" t="inlineStr">
        <is>
          <t>Built with openpyxl. No macros, no Power Query, no array formulas. Functions used: SUMIFS, SUMPRODUCT, INDEX, MATCH, IFERROR, IF, MAX, EDATE, ABS.</t>
        </is>
      </c>
    </row>
    <row r="45">
      <c r="A45" s="1" t="n"/>
      <c r="B45" s="9" t="inlineStr">
        <is>
          <t>A PivotTable can be added on the Data sheet in Excel (Insert &gt; PivotTable) in two clicks; it is not generated here because openpyxl cannot write pivot caches.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7" customWidth="1" min="4" max="4"/>
    <col width="11" customWidth="1" min="5" max="5"/>
    <col width="11" customWidth="1" min="6" max="6"/>
    <col width="14" customWidth="1" min="7" max="7"/>
    <col width="16" customWidth="1" min="8" max="8"/>
    <col width="13" customWidth="1" min="9" max="9"/>
    <col width="15" customWidth="1" min="10" max="10"/>
    <col width="15" customWidth="1" min="11" max="11"/>
    <col width="13" customWidth="1" min="12" max="12"/>
  </cols>
  <sheetData>
    <row r="1">
      <c r="A1" s="10" t="inlineStr">
        <is>
          <t>Record ID</t>
        </is>
      </c>
      <c r="B1" s="10" t="inlineStr">
        <is>
          <t>Month</t>
        </is>
      </c>
      <c r="C1" s="10" t="inlineStr">
        <is>
          <t>Site</t>
        </is>
      </c>
      <c r="D1" s="10" t="inlineStr">
        <is>
          <t>Department</t>
        </is>
      </c>
      <c r="E1" s="10" t="inlineStr">
        <is>
          <t>Admissions</t>
        </is>
      </c>
      <c r="F1" s="10" t="inlineStr">
        <is>
          <t>Discharges</t>
        </is>
      </c>
      <c r="G1" s="10" t="inlineStr">
        <is>
          <t>Total Bed Days</t>
        </is>
      </c>
      <c r="H1" s="10" t="inlineStr">
        <is>
          <t>Available Bed Days</t>
        </is>
      </c>
      <c r="I1" s="10" t="inlineStr">
        <is>
          <t>Length of Stay</t>
        </is>
      </c>
      <c r="J1" s="10" t="inlineStr">
        <is>
          <t>Billing Cycle Days</t>
        </is>
      </c>
      <c r="K1" s="10" t="inlineStr">
        <is>
          <t>Claims Submitted</t>
        </is>
      </c>
      <c r="L1" s="10" t="inlineStr">
        <is>
          <t>Claims Denied</t>
        </is>
      </c>
    </row>
    <row r="2">
      <c r="A2" s="11" t="inlineStr">
        <is>
          <t>HOSP-0001</t>
        </is>
      </c>
      <c r="B2" s="61" t="n">
        <v>45658</v>
      </c>
      <c r="C2" s="11" t="inlineStr">
        <is>
          <t>Site 01</t>
        </is>
      </c>
      <c r="D2" s="11" t="inlineStr">
        <is>
          <t>Cardiology</t>
        </is>
      </c>
      <c r="E2" s="13" t="n">
        <v>130</v>
      </c>
      <c r="F2" s="13" t="n">
        <v>126</v>
      </c>
      <c r="G2" s="13" t="n">
        <v>678</v>
      </c>
      <c r="H2" s="13" t="n">
        <v>682</v>
      </c>
      <c r="I2" s="14" t="n">
        <v>5.38</v>
      </c>
      <c r="J2" s="62" t="n">
        <v>11.9</v>
      </c>
      <c r="K2" s="13" t="n">
        <v>113</v>
      </c>
      <c r="L2" s="13" t="n">
        <v>8</v>
      </c>
    </row>
    <row r="3">
      <c r="A3" s="11" t="inlineStr">
        <is>
          <t>HOSP-0002</t>
        </is>
      </c>
      <c r="B3" s="61" t="n">
        <v>45658</v>
      </c>
      <c r="C3" s="11" t="inlineStr">
        <is>
          <t>Site 01</t>
        </is>
      </c>
      <c r="D3" s="11" t="inlineStr">
        <is>
          <t>Orthopaedics</t>
        </is>
      </c>
      <c r="E3" s="13" t="n">
        <v>90</v>
      </c>
      <c r="F3" s="13" t="n">
        <v>96</v>
      </c>
      <c r="G3" s="13" t="n">
        <v>568</v>
      </c>
      <c r="H3" s="13" t="n">
        <v>589</v>
      </c>
      <c r="I3" s="14" t="n">
        <v>5.92</v>
      </c>
      <c r="J3" s="62" t="n">
        <v>15.5</v>
      </c>
      <c r="K3" s="13" t="n">
        <v>87</v>
      </c>
      <c r="L3" s="13" t="n">
        <v>11</v>
      </c>
    </row>
    <row r="4">
      <c r="A4" s="11" t="inlineStr">
        <is>
          <t>HOSP-0003</t>
        </is>
      </c>
      <c r="B4" s="61" t="n">
        <v>45658</v>
      </c>
      <c r="C4" s="11" t="inlineStr">
        <is>
          <t>Site 01</t>
        </is>
      </c>
      <c r="D4" s="11" t="inlineStr">
        <is>
          <t>General Medicine</t>
        </is>
      </c>
      <c r="E4" s="13" t="n">
        <v>167</v>
      </c>
      <c r="F4" s="13" t="n">
        <v>161</v>
      </c>
      <c r="G4" s="13" t="n">
        <v>657</v>
      </c>
      <c r="H4" s="13" t="n">
        <v>744</v>
      </c>
      <c r="I4" s="14" t="n">
        <v>4.08</v>
      </c>
      <c r="J4" s="62" t="n">
        <v>7.6</v>
      </c>
      <c r="K4" s="13" t="n">
        <v>141</v>
      </c>
      <c r="L4" s="13" t="n">
        <v>9</v>
      </c>
    </row>
    <row r="5">
      <c r="A5" s="11" t="inlineStr">
        <is>
          <t>HOSP-0004</t>
        </is>
      </c>
      <c r="B5" s="61" t="n">
        <v>45658</v>
      </c>
      <c r="C5" s="11" t="inlineStr">
        <is>
          <t>Site 01</t>
        </is>
      </c>
      <c r="D5" s="11" t="inlineStr">
        <is>
          <t>Nephrology</t>
        </is>
      </c>
      <c r="E5" s="13" t="n">
        <v>66</v>
      </c>
      <c r="F5" s="13" t="n">
        <v>72</v>
      </c>
      <c r="G5" s="13" t="n">
        <v>543</v>
      </c>
      <c r="H5" s="13" t="n">
        <v>558</v>
      </c>
      <c r="I5" s="14" t="n">
        <v>7.54</v>
      </c>
      <c r="J5" s="62" t="n">
        <v>15.7</v>
      </c>
      <c r="K5" s="13" t="n">
        <v>67</v>
      </c>
      <c r="L5" s="13" t="n">
        <v>5</v>
      </c>
    </row>
    <row r="6">
      <c r="A6" s="11" t="inlineStr">
        <is>
          <t>HOSP-0005</t>
        </is>
      </c>
      <c r="B6" s="61" t="n">
        <v>45658</v>
      </c>
      <c r="C6" s="11" t="inlineStr">
        <is>
          <t>Site 01</t>
        </is>
      </c>
      <c r="D6" s="11" t="inlineStr">
        <is>
          <t>Paediatrics</t>
        </is>
      </c>
      <c r="E6" s="13" t="n">
        <v>94</v>
      </c>
      <c r="F6" s="13" t="n">
        <v>88</v>
      </c>
      <c r="G6" s="13" t="n">
        <v>300</v>
      </c>
      <c r="H6" s="13" t="n">
        <v>341</v>
      </c>
      <c r="I6" s="14" t="n">
        <v>3.41</v>
      </c>
      <c r="J6" s="62" t="n">
        <v>6.4</v>
      </c>
      <c r="K6" s="13" t="n">
        <v>79</v>
      </c>
      <c r="L6" s="13" t="n">
        <v>3</v>
      </c>
    </row>
    <row r="7">
      <c r="A7" s="11" t="inlineStr">
        <is>
          <t>HOSP-0006</t>
        </is>
      </c>
      <c r="B7" s="61" t="n">
        <v>45658</v>
      </c>
      <c r="C7" s="11" t="inlineStr">
        <is>
          <t>Site 02</t>
        </is>
      </c>
      <c r="D7" s="11" t="inlineStr">
        <is>
          <t>Cardiology</t>
        </is>
      </c>
      <c r="E7" s="13" t="n">
        <v>116</v>
      </c>
      <c r="F7" s="13" t="n">
        <v>116</v>
      </c>
      <c r="G7" s="13" t="n">
        <v>649</v>
      </c>
      <c r="H7" s="13" t="n">
        <v>682</v>
      </c>
      <c r="I7" s="14" t="n">
        <v>5.59</v>
      </c>
      <c r="J7" s="62" t="n">
        <v>11.2</v>
      </c>
      <c r="K7" s="13" t="n">
        <v>107</v>
      </c>
      <c r="L7" s="13" t="n">
        <v>9</v>
      </c>
    </row>
    <row r="8">
      <c r="A8" s="11" t="inlineStr">
        <is>
          <t>HOSP-0007</t>
        </is>
      </c>
      <c r="B8" s="61" t="n">
        <v>45658</v>
      </c>
      <c r="C8" s="11" t="inlineStr">
        <is>
          <t>Site 02</t>
        </is>
      </c>
      <c r="D8" s="11" t="inlineStr">
        <is>
          <t>Orthopaedics</t>
        </is>
      </c>
      <c r="E8" s="13" t="n">
        <v>80</v>
      </c>
      <c r="F8" s="13" t="n">
        <v>85</v>
      </c>
      <c r="G8" s="13" t="n">
        <v>562</v>
      </c>
      <c r="H8" s="13" t="n">
        <v>589</v>
      </c>
      <c r="I8" s="14" t="n">
        <v>6.61</v>
      </c>
      <c r="J8" s="62" t="n">
        <v>14.4</v>
      </c>
      <c r="K8" s="13" t="n">
        <v>74</v>
      </c>
      <c r="L8" s="13" t="n">
        <v>10</v>
      </c>
    </row>
    <row r="9">
      <c r="A9" s="11" t="inlineStr">
        <is>
          <t>HOSP-0008</t>
        </is>
      </c>
      <c r="B9" s="61" t="n">
        <v>45658</v>
      </c>
      <c r="C9" s="11" t="inlineStr">
        <is>
          <t>Site 02</t>
        </is>
      </c>
      <c r="D9" s="11" t="inlineStr">
        <is>
          <t>General Medicine</t>
        </is>
      </c>
      <c r="E9" s="13" t="n">
        <v>162</v>
      </c>
      <c r="F9" s="13" t="n">
        <v>159</v>
      </c>
      <c r="G9" s="13" t="n">
        <v>680</v>
      </c>
      <c r="H9" s="13" t="n">
        <v>744</v>
      </c>
      <c r="I9" s="14" t="n">
        <v>4.28</v>
      </c>
      <c r="J9" s="62" t="n">
        <v>6.6</v>
      </c>
      <c r="K9" s="13" t="n">
        <v>147</v>
      </c>
      <c r="L9" s="13" t="n">
        <v>8</v>
      </c>
    </row>
    <row r="10">
      <c r="A10" s="11" t="inlineStr">
        <is>
          <t>HOSP-0009</t>
        </is>
      </c>
      <c r="B10" s="61" t="n">
        <v>45658</v>
      </c>
      <c r="C10" s="11" t="inlineStr">
        <is>
          <t>Site 02</t>
        </is>
      </c>
      <c r="D10" s="11" t="inlineStr">
        <is>
          <t>Nephrology</t>
        </is>
      </c>
      <c r="E10" s="13" t="n">
        <v>56</v>
      </c>
      <c r="F10" s="13" t="n">
        <v>50</v>
      </c>
      <c r="G10" s="13" t="n">
        <v>425</v>
      </c>
      <c r="H10" s="13" t="n">
        <v>558</v>
      </c>
      <c r="I10" s="14" t="n">
        <v>8.5</v>
      </c>
      <c r="J10" s="62" t="n">
        <v>11.2</v>
      </c>
      <c r="K10" s="13" t="n">
        <v>45</v>
      </c>
      <c r="L10" s="13" t="n">
        <v>3</v>
      </c>
    </row>
    <row r="11">
      <c r="A11" s="11" t="inlineStr">
        <is>
          <t>HOSP-0010</t>
        </is>
      </c>
      <c r="B11" s="61" t="n">
        <v>45658</v>
      </c>
      <c r="C11" s="11" t="inlineStr">
        <is>
          <t>Site 02</t>
        </is>
      </c>
      <c r="D11" s="11" t="inlineStr">
        <is>
          <t>Paediatrics</t>
        </is>
      </c>
      <c r="E11" s="13" t="n">
        <v>88</v>
      </c>
      <c r="F11" s="13" t="n">
        <v>83</v>
      </c>
      <c r="G11" s="13" t="n">
        <v>268</v>
      </c>
      <c r="H11" s="13" t="n">
        <v>341</v>
      </c>
      <c r="I11" s="14" t="n">
        <v>3.23</v>
      </c>
      <c r="J11" s="62" t="n">
        <v>7</v>
      </c>
      <c r="K11" s="13" t="n">
        <v>75</v>
      </c>
      <c r="L11" s="13" t="n">
        <v>4</v>
      </c>
    </row>
    <row r="12">
      <c r="A12" s="11" t="inlineStr">
        <is>
          <t>HOSP-0011</t>
        </is>
      </c>
      <c r="B12" s="61" t="n">
        <v>45658</v>
      </c>
      <c r="C12" s="11" t="inlineStr">
        <is>
          <t>Site 03</t>
        </is>
      </c>
      <c r="D12" s="11" t="inlineStr">
        <is>
          <t>Cardiology</t>
        </is>
      </c>
      <c r="E12" s="13" t="n">
        <v>123</v>
      </c>
      <c r="F12" s="13" t="n">
        <v>121</v>
      </c>
      <c r="G12" s="13" t="n">
        <v>681</v>
      </c>
      <c r="H12" s="13" t="n">
        <v>682</v>
      </c>
      <c r="I12" s="14" t="n">
        <v>5.63</v>
      </c>
      <c r="J12" s="62" t="n">
        <v>10.3</v>
      </c>
      <c r="K12" s="13" t="n">
        <v>112</v>
      </c>
      <c r="L12" s="13" t="n">
        <v>7</v>
      </c>
    </row>
    <row r="13">
      <c r="A13" s="11" t="inlineStr">
        <is>
          <t>HOSP-0012</t>
        </is>
      </c>
      <c r="B13" s="61" t="n">
        <v>45658</v>
      </c>
      <c r="C13" s="11" t="inlineStr">
        <is>
          <t>Site 03</t>
        </is>
      </c>
      <c r="D13" s="11" t="inlineStr">
        <is>
          <t>Orthopaedics</t>
        </is>
      </c>
      <c r="E13" s="13" t="n">
        <v>84</v>
      </c>
      <c r="F13" s="13" t="n">
        <v>83</v>
      </c>
      <c r="G13" s="13" t="n">
        <v>537</v>
      </c>
      <c r="H13" s="13" t="n">
        <v>589</v>
      </c>
      <c r="I13" s="14" t="n">
        <v>6.47</v>
      </c>
      <c r="J13" s="62" t="n">
        <v>14.2</v>
      </c>
      <c r="K13" s="13" t="n">
        <v>76</v>
      </c>
      <c r="L13" s="13" t="n">
        <v>9</v>
      </c>
    </row>
    <row r="14">
      <c r="A14" s="11" t="inlineStr">
        <is>
          <t>HOSP-0013</t>
        </is>
      </c>
      <c r="B14" s="61" t="n">
        <v>45658</v>
      </c>
      <c r="C14" s="11" t="inlineStr">
        <is>
          <t>Site 03</t>
        </is>
      </c>
      <c r="D14" s="11" t="inlineStr">
        <is>
          <t>General Medicine</t>
        </is>
      </c>
      <c r="E14" s="13" t="n">
        <v>180</v>
      </c>
      <c r="F14" s="13" t="n">
        <v>185</v>
      </c>
      <c r="G14" s="13" t="n">
        <v>729</v>
      </c>
      <c r="H14" s="13" t="n">
        <v>744</v>
      </c>
      <c r="I14" s="14" t="n">
        <v>3.94</v>
      </c>
      <c r="J14" s="62" t="n">
        <v>7.4</v>
      </c>
      <c r="K14" s="13" t="n">
        <v>159</v>
      </c>
      <c r="L14" s="13" t="n">
        <v>9</v>
      </c>
    </row>
    <row r="15">
      <c r="A15" s="11" t="inlineStr">
        <is>
          <t>HOSP-0014</t>
        </is>
      </c>
      <c r="B15" s="61" t="n">
        <v>45658</v>
      </c>
      <c r="C15" s="11" t="inlineStr">
        <is>
          <t>Site 03</t>
        </is>
      </c>
      <c r="D15" s="11" t="inlineStr">
        <is>
          <t>Nephrology</t>
        </is>
      </c>
      <c r="E15" s="13" t="n">
        <v>60</v>
      </c>
      <c r="F15" s="13" t="n">
        <v>62</v>
      </c>
      <c r="G15" s="13" t="n">
        <v>513</v>
      </c>
      <c r="H15" s="13" t="n">
        <v>558</v>
      </c>
      <c r="I15" s="14" t="n">
        <v>8.27</v>
      </c>
      <c r="J15" s="62" t="n">
        <v>11.8</v>
      </c>
      <c r="K15" s="13" t="n">
        <v>56</v>
      </c>
      <c r="L15" s="13" t="n">
        <v>5</v>
      </c>
    </row>
    <row r="16">
      <c r="A16" s="11" t="inlineStr">
        <is>
          <t>HOSP-0015</t>
        </is>
      </c>
      <c r="B16" s="61" t="n">
        <v>45658</v>
      </c>
      <c r="C16" s="11" t="inlineStr">
        <is>
          <t>Site 03</t>
        </is>
      </c>
      <c r="D16" s="11" t="inlineStr">
        <is>
          <t>Paediatrics</t>
        </is>
      </c>
      <c r="E16" s="13" t="n">
        <v>105</v>
      </c>
      <c r="F16" s="13" t="n">
        <v>105</v>
      </c>
      <c r="G16" s="13" t="n">
        <v>333</v>
      </c>
      <c r="H16" s="13" t="n">
        <v>341</v>
      </c>
      <c r="I16" s="14" t="n">
        <v>3.17</v>
      </c>
      <c r="J16" s="62" t="n">
        <v>6.2</v>
      </c>
      <c r="K16" s="13" t="n">
        <v>96</v>
      </c>
      <c r="L16" s="13" t="n">
        <v>3</v>
      </c>
    </row>
    <row r="17">
      <c r="A17" s="11" t="inlineStr">
        <is>
          <t>HOSP-0016</t>
        </is>
      </c>
      <c r="B17" s="61" t="n">
        <v>45658</v>
      </c>
      <c r="C17" s="11" t="inlineStr">
        <is>
          <t>Site 04</t>
        </is>
      </c>
      <c r="D17" s="11" t="inlineStr">
        <is>
          <t>Cardiology</t>
        </is>
      </c>
      <c r="E17" s="13" t="n">
        <v>108</v>
      </c>
      <c r="F17" s="13" t="n">
        <v>107</v>
      </c>
      <c r="G17" s="13" t="n">
        <v>528</v>
      </c>
      <c r="H17" s="13" t="n">
        <v>682</v>
      </c>
      <c r="I17" s="14" t="n">
        <v>4.93</v>
      </c>
      <c r="J17" s="62" t="n">
        <v>9.199999999999999</v>
      </c>
      <c r="K17" s="13" t="n">
        <v>100</v>
      </c>
      <c r="L17" s="13" t="n">
        <v>7</v>
      </c>
    </row>
    <row r="18">
      <c r="A18" s="11" t="inlineStr">
        <is>
          <t>HOSP-0017</t>
        </is>
      </c>
      <c r="B18" s="61" t="n">
        <v>45658</v>
      </c>
      <c r="C18" s="11" t="inlineStr">
        <is>
          <t>Site 04</t>
        </is>
      </c>
      <c r="D18" s="11" t="inlineStr">
        <is>
          <t>Orthopaedics</t>
        </is>
      </c>
      <c r="E18" s="13" t="n">
        <v>84</v>
      </c>
      <c r="F18" s="13" t="n">
        <v>87</v>
      </c>
      <c r="G18" s="13" t="n">
        <v>535</v>
      </c>
      <c r="H18" s="13" t="n">
        <v>589</v>
      </c>
      <c r="I18" s="14" t="n">
        <v>6.15</v>
      </c>
      <c r="J18" s="62" t="n">
        <v>15.2</v>
      </c>
      <c r="K18" s="13" t="n">
        <v>78</v>
      </c>
      <c r="L18" s="13" t="n">
        <v>10</v>
      </c>
    </row>
    <row r="19">
      <c r="A19" s="11" t="inlineStr">
        <is>
          <t>HOSP-0018</t>
        </is>
      </c>
      <c r="B19" s="61" t="n">
        <v>45658</v>
      </c>
      <c r="C19" s="11" t="inlineStr">
        <is>
          <t>Site 04</t>
        </is>
      </c>
      <c r="D19" s="11" t="inlineStr">
        <is>
          <t>General Medicine</t>
        </is>
      </c>
      <c r="E19" s="13" t="n">
        <v>160</v>
      </c>
      <c r="F19" s="13" t="n">
        <v>166</v>
      </c>
      <c r="G19" s="13" t="n">
        <v>670</v>
      </c>
      <c r="H19" s="13" t="n">
        <v>744</v>
      </c>
      <c r="I19" s="14" t="n">
        <v>4.04</v>
      </c>
      <c r="J19" s="62" t="n">
        <v>8.800000000000001</v>
      </c>
      <c r="K19" s="13" t="n">
        <v>145</v>
      </c>
      <c r="L19" s="13" t="n">
        <v>9</v>
      </c>
    </row>
    <row r="20">
      <c r="A20" s="11" t="inlineStr">
        <is>
          <t>HOSP-0019</t>
        </is>
      </c>
      <c r="B20" s="61" t="n">
        <v>45658</v>
      </c>
      <c r="C20" s="11" t="inlineStr">
        <is>
          <t>Site 04</t>
        </is>
      </c>
      <c r="D20" s="11" t="inlineStr">
        <is>
          <t>Nephrology</t>
        </is>
      </c>
      <c r="E20" s="13" t="n">
        <v>64</v>
      </c>
      <c r="F20" s="13" t="n">
        <v>65</v>
      </c>
      <c r="G20" s="13" t="n">
        <v>477</v>
      </c>
      <c r="H20" s="13" t="n">
        <v>558</v>
      </c>
      <c r="I20" s="14" t="n">
        <v>7.34</v>
      </c>
      <c r="J20" s="62" t="n">
        <v>12.6</v>
      </c>
      <c r="K20" s="13" t="n">
        <v>60</v>
      </c>
      <c r="L20" s="13" t="n">
        <v>6</v>
      </c>
    </row>
    <row r="21">
      <c r="A21" s="11" t="inlineStr">
        <is>
          <t>HOSP-0020</t>
        </is>
      </c>
      <c r="B21" s="61" t="n">
        <v>45658</v>
      </c>
      <c r="C21" s="11" t="inlineStr">
        <is>
          <t>Site 04</t>
        </is>
      </c>
      <c r="D21" s="11" t="inlineStr">
        <is>
          <t>Paediatrics</t>
        </is>
      </c>
      <c r="E21" s="13" t="n">
        <v>97</v>
      </c>
      <c r="F21" s="13" t="n">
        <v>93</v>
      </c>
      <c r="G21" s="13" t="n">
        <v>325</v>
      </c>
      <c r="H21" s="13" t="n">
        <v>341</v>
      </c>
      <c r="I21" s="14" t="n">
        <v>3.49</v>
      </c>
      <c r="J21" s="62" t="n">
        <v>6.3</v>
      </c>
      <c r="K21" s="13" t="n">
        <v>81</v>
      </c>
      <c r="L21" s="13" t="n">
        <v>4</v>
      </c>
    </row>
    <row r="22">
      <c r="A22" s="11" t="inlineStr">
        <is>
          <t>HOSP-0021</t>
        </is>
      </c>
      <c r="B22" s="61" t="n">
        <v>45658</v>
      </c>
      <c r="C22" s="11" t="inlineStr">
        <is>
          <t>Site 05</t>
        </is>
      </c>
      <c r="D22" s="11" t="inlineStr">
        <is>
          <t>Cardiology</t>
        </is>
      </c>
      <c r="E22" s="13" t="n">
        <v>101</v>
      </c>
      <c r="F22" s="13" t="n">
        <v>97</v>
      </c>
      <c r="G22" s="13" t="n">
        <v>546</v>
      </c>
      <c r="H22" s="13" t="n">
        <v>682</v>
      </c>
      <c r="I22" s="14" t="n">
        <v>5.63</v>
      </c>
      <c r="J22" s="62" t="n">
        <v>10.9</v>
      </c>
      <c r="K22" s="13" t="n">
        <v>84</v>
      </c>
      <c r="L22" s="13" t="n">
        <v>5</v>
      </c>
    </row>
    <row r="23">
      <c r="A23" s="11" t="inlineStr">
        <is>
          <t>HOSP-0022</t>
        </is>
      </c>
      <c r="B23" s="61" t="n">
        <v>45658</v>
      </c>
      <c r="C23" s="11" t="inlineStr">
        <is>
          <t>Site 05</t>
        </is>
      </c>
      <c r="D23" s="11" t="inlineStr">
        <is>
          <t>Orthopaedics</t>
        </is>
      </c>
      <c r="E23" s="13" t="n">
        <v>68</v>
      </c>
      <c r="F23" s="13" t="n">
        <v>68</v>
      </c>
      <c r="G23" s="13" t="n">
        <v>403</v>
      </c>
      <c r="H23" s="13" t="n">
        <v>589</v>
      </c>
      <c r="I23" s="14" t="n">
        <v>5.93</v>
      </c>
      <c r="J23" s="62" t="n">
        <v>13.3</v>
      </c>
      <c r="K23" s="13" t="n">
        <v>60</v>
      </c>
      <c r="L23" s="13" t="n">
        <v>9</v>
      </c>
    </row>
    <row r="24">
      <c r="A24" s="11" t="inlineStr">
        <is>
          <t>HOSP-0023</t>
        </is>
      </c>
      <c r="B24" s="61" t="n">
        <v>45658</v>
      </c>
      <c r="C24" s="11" t="inlineStr">
        <is>
          <t>Site 05</t>
        </is>
      </c>
      <c r="D24" s="11" t="inlineStr">
        <is>
          <t>General Medicine</t>
        </is>
      </c>
      <c r="E24" s="13" t="n">
        <v>140</v>
      </c>
      <c r="F24" s="13" t="n">
        <v>135</v>
      </c>
      <c r="G24" s="13" t="n">
        <v>522</v>
      </c>
      <c r="H24" s="13" t="n">
        <v>744</v>
      </c>
      <c r="I24" s="14" t="n">
        <v>3.87</v>
      </c>
      <c r="J24" s="62" t="n">
        <v>8.300000000000001</v>
      </c>
      <c r="K24" s="13" t="n">
        <v>117</v>
      </c>
      <c r="L24" s="13" t="n">
        <v>10</v>
      </c>
    </row>
    <row r="25">
      <c r="A25" s="11" t="inlineStr">
        <is>
          <t>HOSP-0024</t>
        </is>
      </c>
      <c r="B25" s="61" t="n">
        <v>45658</v>
      </c>
      <c r="C25" s="11" t="inlineStr">
        <is>
          <t>Site 05</t>
        </is>
      </c>
      <c r="D25" s="11" t="inlineStr">
        <is>
          <t>Nephrology</t>
        </is>
      </c>
      <c r="E25" s="13" t="n">
        <v>63</v>
      </c>
      <c r="F25" s="13" t="n">
        <v>69</v>
      </c>
      <c r="G25" s="13" t="n">
        <v>540</v>
      </c>
      <c r="H25" s="13" t="n">
        <v>558</v>
      </c>
      <c r="I25" s="14" t="n">
        <v>7.83</v>
      </c>
      <c r="J25" s="62" t="n">
        <v>9.300000000000001</v>
      </c>
      <c r="K25" s="13" t="n">
        <v>61</v>
      </c>
      <c r="L25" s="13" t="n">
        <v>5</v>
      </c>
    </row>
    <row r="26">
      <c r="A26" s="11" t="inlineStr">
        <is>
          <t>HOSP-0025</t>
        </is>
      </c>
      <c r="B26" s="61" t="n">
        <v>45658</v>
      </c>
      <c r="C26" s="11" t="inlineStr">
        <is>
          <t>Site 05</t>
        </is>
      </c>
      <c r="D26" s="11" t="inlineStr">
        <is>
          <t>Paediatrics</t>
        </is>
      </c>
      <c r="E26" s="13" t="n">
        <v>78</v>
      </c>
      <c r="F26" s="13" t="n">
        <v>83</v>
      </c>
      <c r="G26" s="13" t="n">
        <v>263</v>
      </c>
      <c r="H26" s="13" t="n">
        <v>341</v>
      </c>
      <c r="I26" s="14" t="n">
        <v>3.17</v>
      </c>
      <c r="J26" s="62" t="n">
        <v>7.3</v>
      </c>
      <c r="K26" s="13" t="n">
        <v>77</v>
      </c>
      <c r="L26" s="13" t="n">
        <v>4</v>
      </c>
    </row>
    <row r="27">
      <c r="A27" s="11" t="inlineStr">
        <is>
          <t>HOSP-0026</t>
        </is>
      </c>
      <c r="B27" s="61" t="n">
        <v>45658</v>
      </c>
      <c r="C27" s="11" t="inlineStr">
        <is>
          <t>Site 06</t>
        </is>
      </c>
      <c r="D27" s="11" t="inlineStr">
        <is>
          <t>Cardiology</t>
        </is>
      </c>
      <c r="E27" s="13" t="n">
        <v>120</v>
      </c>
      <c r="F27" s="13" t="n">
        <v>119</v>
      </c>
      <c r="G27" s="13" t="n">
        <v>573</v>
      </c>
      <c r="H27" s="13" t="n">
        <v>682</v>
      </c>
      <c r="I27" s="14" t="n">
        <v>4.82</v>
      </c>
      <c r="J27" s="62" t="n">
        <v>9.9</v>
      </c>
      <c r="K27" s="13" t="n">
        <v>105</v>
      </c>
      <c r="L27" s="13" t="n">
        <v>9</v>
      </c>
    </row>
    <row r="28">
      <c r="A28" s="11" t="inlineStr">
        <is>
          <t>HOSP-0027</t>
        </is>
      </c>
      <c r="B28" s="61" t="n">
        <v>45658</v>
      </c>
      <c r="C28" s="11" t="inlineStr">
        <is>
          <t>Site 06</t>
        </is>
      </c>
      <c r="D28" s="11" t="inlineStr">
        <is>
          <t>Orthopaedics</t>
        </is>
      </c>
      <c r="E28" s="13" t="n">
        <v>104</v>
      </c>
      <c r="F28" s="13" t="n">
        <v>110</v>
      </c>
      <c r="G28" s="13" t="n">
        <v>580</v>
      </c>
      <c r="H28" s="13" t="n">
        <v>589</v>
      </c>
      <c r="I28" s="14" t="n">
        <v>5.27</v>
      </c>
      <c r="J28" s="62" t="n">
        <v>12</v>
      </c>
      <c r="K28" s="13" t="n">
        <v>95</v>
      </c>
      <c r="L28" s="13" t="n">
        <v>11</v>
      </c>
    </row>
    <row r="29">
      <c r="A29" s="11" t="inlineStr">
        <is>
          <t>HOSP-0028</t>
        </is>
      </c>
      <c r="B29" s="61" t="n">
        <v>45658</v>
      </c>
      <c r="C29" s="11" t="inlineStr">
        <is>
          <t>Site 06</t>
        </is>
      </c>
      <c r="D29" s="11" t="inlineStr">
        <is>
          <t>General Medicine</t>
        </is>
      </c>
      <c r="E29" s="13" t="n">
        <v>180</v>
      </c>
      <c r="F29" s="13" t="n">
        <v>183</v>
      </c>
      <c r="G29" s="13" t="n">
        <v>717</v>
      </c>
      <c r="H29" s="13" t="n">
        <v>744</v>
      </c>
      <c r="I29" s="14" t="n">
        <v>3.92</v>
      </c>
      <c r="J29" s="62" t="n">
        <v>8.800000000000001</v>
      </c>
      <c r="K29" s="13" t="n">
        <v>162</v>
      </c>
      <c r="L29" s="13" t="n">
        <v>11</v>
      </c>
    </row>
    <row r="30">
      <c r="A30" s="11" t="inlineStr">
        <is>
          <t>HOSP-0029</t>
        </is>
      </c>
      <c r="B30" s="61" t="n">
        <v>45658</v>
      </c>
      <c r="C30" s="11" t="inlineStr">
        <is>
          <t>Site 06</t>
        </is>
      </c>
      <c r="D30" s="11" t="inlineStr">
        <is>
          <t>Nephrology</t>
        </is>
      </c>
      <c r="E30" s="13" t="n">
        <v>70</v>
      </c>
      <c r="F30" s="13" t="n">
        <v>72</v>
      </c>
      <c r="G30" s="13" t="n">
        <v>550</v>
      </c>
      <c r="H30" s="13" t="n">
        <v>558</v>
      </c>
      <c r="I30" s="14" t="n">
        <v>7.64</v>
      </c>
      <c r="J30" s="62" t="n">
        <v>13.2</v>
      </c>
      <c r="K30" s="13" t="n">
        <v>62</v>
      </c>
      <c r="L30" s="13" t="n">
        <v>4</v>
      </c>
    </row>
    <row r="31">
      <c r="A31" s="11" t="inlineStr">
        <is>
          <t>HOSP-0030</t>
        </is>
      </c>
      <c r="B31" s="61" t="n">
        <v>45658</v>
      </c>
      <c r="C31" s="11" t="inlineStr">
        <is>
          <t>Site 06</t>
        </is>
      </c>
      <c r="D31" s="11" t="inlineStr">
        <is>
          <t>Paediatrics</t>
        </is>
      </c>
      <c r="E31" s="13" t="n">
        <v>96</v>
      </c>
      <c r="F31" s="13" t="n">
        <v>96</v>
      </c>
      <c r="G31" s="13" t="n">
        <v>310</v>
      </c>
      <c r="H31" s="13" t="n">
        <v>341</v>
      </c>
      <c r="I31" s="14" t="n">
        <v>3.23</v>
      </c>
      <c r="J31" s="62" t="n">
        <v>7.7</v>
      </c>
      <c r="K31" s="13" t="n">
        <v>89</v>
      </c>
      <c r="L31" s="13" t="n">
        <v>4</v>
      </c>
    </row>
    <row r="32">
      <c r="A32" s="11" t="inlineStr">
        <is>
          <t>HOSP-0031</t>
        </is>
      </c>
      <c r="B32" s="61" t="n">
        <v>45658</v>
      </c>
      <c r="C32" s="11" t="inlineStr">
        <is>
          <t>Site 07</t>
        </is>
      </c>
      <c r="D32" s="11" t="inlineStr">
        <is>
          <t>Cardiology</t>
        </is>
      </c>
      <c r="E32" s="13" t="n">
        <v>125</v>
      </c>
      <c r="F32" s="13" t="n">
        <v>125</v>
      </c>
      <c r="G32" s="13" t="n">
        <v>678</v>
      </c>
      <c r="H32" s="13" t="n">
        <v>682</v>
      </c>
      <c r="I32" s="14" t="n">
        <v>5.42</v>
      </c>
      <c r="J32" s="62" t="n">
        <v>10</v>
      </c>
      <c r="K32" s="13" t="n">
        <v>111</v>
      </c>
      <c r="L32" s="13" t="n">
        <v>10</v>
      </c>
    </row>
    <row r="33">
      <c r="A33" s="11" t="inlineStr">
        <is>
          <t>HOSP-0032</t>
        </is>
      </c>
      <c r="B33" s="61" t="n">
        <v>45658</v>
      </c>
      <c r="C33" s="11" t="inlineStr">
        <is>
          <t>Site 07</t>
        </is>
      </c>
      <c r="D33" s="11" t="inlineStr">
        <is>
          <t>Orthopaedics</t>
        </is>
      </c>
      <c r="E33" s="13" t="n">
        <v>97</v>
      </c>
      <c r="F33" s="13" t="n">
        <v>95</v>
      </c>
      <c r="G33" s="13" t="n">
        <v>581</v>
      </c>
      <c r="H33" s="13" t="n">
        <v>589</v>
      </c>
      <c r="I33" s="14" t="n">
        <v>6.12</v>
      </c>
      <c r="J33" s="62" t="n">
        <v>11.7</v>
      </c>
      <c r="K33" s="13" t="n">
        <v>83</v>
      </c>
      <c r="L33" s="13" t="n">
        <v>12</v>
      </c>
    </row>
    <row r="34">
      <c r="A34" s="11" t="inlineStr">
        <is>
          <t>HOSP-0033</t>
        </is>
      </c>
      <c r="B34" s="61" t="n">
        <v>45658</v>
      </c>
      <c r="C34" s="11" t="inlineStr">
        <is>
          <t>Site 07</t>
        </is>
      </c>
      <c r="D34" s="11" t="inlineStr">
        <is>
          <t>General Medicine</t>
        </is>
      </c>
      <c r="E34" s="13" t="n">
        <v>172</v>
      </c>
      <c r="F34" s="13" t="n">
        <v>175</v>
      </c>
      <c r="G34" s="13" t="n">
        <v>731</v>
      </c>
      <c r="H34" s="13" t="n">
        <v>744</v>
      </c>
      <c r="I34" s="14" t="n">
        <v>4.18</v>
      </c>
      <c r="J34" s="62" t="n">
        <v>9.300000000000001</v>
      </c>
      <c r="K34" s="13" t="n">
        <v>155</v>
      </c>
      <c r="L34" s="13" t="n">
        <v>10</v>
      </c>
    </row>
    <row r="35">
      <c r="A35" s="11" t="inlineStr">
        <is>
          <t>HOSP-0034</t>
        </is>
      </c>
      <c r="B35" s="61" t="n">
        <v>45658</v>
      </c>
      <c r="C35" s="11" t="inlineStr">
        <is>
          <t>Site 07</t>
        </is>
      </c>
      <c r="D35" s="11" t="inlineStr">
        <is>
          <t>Nephrology</t>
        </is>
      </c>
      <c r="E35" s="13" t="n">
        <v>62</v>
      </c>
      <c r="F35" s="13" t="n">
        <v>58</v>
      </c>
      <c r="G35" s="13" t="n">
        <v>466</v>
      </c>
      <c r="H35" s="13" t="n">
        <v>558</v>
      </c>
      <c r="I35" s="14" t="n">
        <v>8.029999999999999</v>
      </c>
      <c r="J35" s="62" t="n">
        <v>12.3</v>
      </c>
      <c r="K35" s="13" t="n">
        <v>50</v>
      </c>
      <c r="L35" s="13" t="n">
        <v>6</v>
      </c>
    </row>
    <row r="36">
      <c r="A36" s="11" t="inlineStr">
        <is>
          <t>HOSP-0035</t>
        </is>
      </c>
      <c r="B36" s="61" t="n">
        <v>45658</v>
      </c>
      <c r="C36" s="11" t="inlineStr">
        <is>
          <t>Site 07</t>
        </is>
      </c>
      <c r="D36" s="11" t="inlineStr">
        <is>
          <t>Paediatrics</t>
        </is>
      </c>
      <c r="E36" s="13" t="n">
        <v>100</v>
      </c>
      <c r="F36" s="13" t="n">
        <v>94</v>
      </c>
      <c r="G36" s="13" t="n">
        <v>263</v>
      </c>
      <c r="H36" s="13" t="n">
        <v>341</v>
      </c>
      <c r="I36" s="14" t="n">
        <v>2.8</v>
      </c>
      <c r="J36" s="62" t="n">
        <v>6.5</v>
      </c>
      <c r="K36" s="13" t="n">
        <v>86</v>
      </c>
      <c r="L36" s="13" t="n">
        <v>3</v>
      </c>
    </row>
    <row r="37">
      <c r="A37" s="11" t="inlineStr">
        <is>
          <t>HOSP-0036</t>
        </is>
      </c>
      <c r="B37" s="61" t="n">
        <v>45658</v>
      </c>
      <c r="C37" s="11" t="inlineStr">
        <is>
          <t>Site 08</t>
        </is>
      </c>
      <c r="D37" s="11" t="inlineStr">
        <is>
          <t>Cardiology</t>
        </is>
      </c>
      <c r="E37" s="13" t="n">
        <v>116</v>
      </c>
      <c r="F37" s="13" t="n">
        <v>118</v>
      </c>
      <c r="G37" s="13" t="n">
        <v>619</v>
      </c>
      <c r="H37" s="13" t="n">
        <v>682</v>
      </c>
      <c r="I37" s="14" t="n">
        <v>5.25</v>
      </c>
      <c r="J37" s="62" t="n">
        <v>11.7</v>
      </c>
      <c r="K37" s="13" t="n">
        <v>108</v>
      </c>
      <c r="L37" s="13" t="n">
        <v>9</v>
      </c>
    </row>
    <row r="38">
      <c r="A38" s="11" t="inlineStr">
        <is>
          <t>HOSP-0037</t>
        </is>
      </c>
      <c r="B38" s="61" t="n">
        <v>45658</v>
      </c>
      <c r="C38" s="11" t="inlineStr">
        <is>
          <t>Site 08</t>
        </is>
      </c>
      <c r="D38" s="11" t="inlineStr">
        <is>
          <t>Orthopaedics</t>
        </is>
      </c>
      <c r="E38" s="13" t="n">
        <v>85</v>
      </c>
      <c r="F38" s="13" t="n">
        <v>91</v>
      </c>
      <c r="G38" s="13" t="n">
        <v>573</v>
      </c>
      <c r="H38" s="13" t="n">
        <v>589</v>
      </c>
      <c r="I38" s="14" t="n">
        <v>6.3</v>
      </c>
      <c r="J38" s="62" t="n">
        <v>16.2</v>
      </c>
      <c r="K38" s="13" t="n">
        <v>80</v>
      </c>
      <c r="L38" s="13" t="n">
        <v>9</v>
      </c>
    </row>
    <row r="39">
      <c r="A39" s="11" t="inlineStr">
        <is>
          <t>HOSP-0038</t>
        </is>
      </c>
      <c r="B39" s="61" t="n">
        <v>45658</v>
      </c>
      <c r="C39" s="11" t="inlineStr">
        <is>
          <t>Site 08</t>
        </is>
      </c>
      <c r="D39" s="11" t="inlineStr">
        <is>
          <t>General Medicine</t>
        </is>
      </c>
      <c r="E39" s="13" t="n">
        <v>173</v>
      </c>
      <c r="F39" s="13" t="n">
        <v>170</v>
      </c>
      <c r="G39" s="13" t="n">
        <v>711</v>
      </c>
      <c r="H39" s="13" t="n">
        <v>744</v>
      </c>
      <c r="I39" s="14" t="n">
        <v>4.18</v>
      </c>
      <c r="J39" s="62" t="n">
        <v>8.199999999999999</v>
      </c>
      <c r="K39" s="13" t="n">
        <v>148</v>
      </c>
      <c r="L39" s="13" t="n">
        <v>9</v>
      </c>
    </row>
    <row r="40">
      <c r="A40" s="11" t="inlineStr">
        <is>
          <t>HOSP-0039</t>
        </is>
      </c>
      <c r="B40" s="61" t="n">
        <v>45658</v>
      </c>
      <c r="C40" s="11" t="inlineStr">
        <is>
          <t>Site 08</t>
        </is>
      </c>
      <c r="D40" s="11" t="inlineStr">
        <is>
          <t>Nephrology</t>
        </is>
      </c>
      <c r="E40" s="13" t="n">
        <v>66</v>
      </c>
      <c r="F40" s="13" t="n">
        <v>60</v>
      </c>
      <c r="G40" s="13" t="n">
        <v>510</v>
      </c>
      <c r="H40" s="13" t="n">
        <v>558</v>
      </c>
      <c r="I40" s="14" t="n">
        <v>8.5</v>
      </c>
      <c r="J40" s="62" t="n">
        <v>11.2</v>
      </c>
      <c r="K40" s="13" t="n">
        <v>55</v>
      </c>
      <c r="L40" s="13" t="n">
        <v>4</v>
      </c>
    </row>
    <row r="41">
      <c r="A41" s="11" t="inlineStr">
        <is>
          <t>HOSP-0040</t>
        </is>
      </c>
      <c r="B41" s="61" t="n">
        <v>45658</v>
      </c>
      <c r="C41" s="11" t="inlineStr">
        <is>
          <t>Site 08</t>
        </is>
      </c>
      <c r="D41" s="11" t="inlineStr">
        <is>
          <t>Paediatrics</t>
        </is>
      </c>
      <c r="E41" s="13" t="n">
        <v>96</v>
      </c>
      <c r="F41" s="13" t="n">
        <v>102</v>
      </c>
      <c r="G41" s="13" t="n">
        <v>332</v>
      </c>
      <c r="H41" s="13" t="n">
        <v>341</v>
      </c>
      <c r="I41" s="14" t="n">
        <v>3.25</v>
      </c>
      <c r="J41" s="62" t="n">
        <v>7.4</v>
      </c>
      <c r="K41" s="13" t="n">
        <v>94</v>
      </c>
      <c r="L41" s="13" t="n">
        <v>4</v>
      </c>
    </row>
    <row r="42">
      <c r="A42" s="11" t="inlineStr">
        <is>
          <t>HOSP-0041</t>
        </is>
      </c>
      <c r="B42" s="61" t="n">
        <v>45658</v>
      </c>
      <c r="C42" s="11" t="inlineStr">
        <is>
          <t>Site 09</t>
        </is>
      </c>
      <c r="D42" s="11" t="inlineStr">
        <is>
          <t>Cardiology</t>
        </is>
      </c>
      <c r="E42" s="13" t="n">
        <v>86</v>
      </c>
      <c r="F42" s="13" t="n">
        <v>84</v>
      </c>
      <c r="G42" s="13" t="n">
        <v>421</v>
      </c>
      <c r="H42" s="13" t="n">
        <v>682</v>
      </c>
      <c r="I42" s="14" t="n">
        <v>5.01</v>
      </c>
      <c r="J42" s="62" t="n">
        <v>9.800000000000001</v>
      </c>
      <c r="K42" s="13" t="n">
        <v>75</v>
      </c>
      <c r="L42" s="13" t="n">
        <v>7</v>
      </c>
    </row>
    <row r="43">
      <c r="A43" s="11" t="inlineStr">
        <is>
          <t>HOSP-0042</t>
        </is>
      </c>
      <c r="B43" s="61" t="n">
        <v>45658</v>
      </c>
      <c r="C43" s="11" t="inlineStr">
        <is>
          <t>Site 09</t>
        </is>
      </c>
      <c r="D43" s="11" t="inlineStr">
        <is>
          <t>Orthopaedics</t>
        </is>
      </c>
      <c r="E43" s="13" t="n">
        <v>71</v>
      </c>
      <c r="F43" s="13" t="n">
        <v>71</v>
      </c>
      <c r="G43" s="13" t="n">
        <v>399</v>
      </c>
      <c r="H43" s="13" t="n">
        <v>589</v>
      </c>
      <c r="I43" s="14" t="n">
        <v>5.62</v>
      </c>
      <c r="J43" s="62" t="n">
        <v>11.5</v>
      </c>
      <c r="K43" s="13" t="n">
        <v>62</v>
      </c>
      <c r="L43" s="13" t="n">
        <v>6</v>
      </c>
    </row>
    <row r="44">
      <c r="A44" s="11" t="inlineStr">
        <is>
          <t>HOSP-0043</t>
        </is>
      </c>
      <c r="B44" s="61" t="n">
        <v>45658</v>
      </c>
      <c r="C44" s="11" t="inlineStr">
        <is>
          <t>Site 09</t>
        </is>
      </c>
      <c r="D44" s="11" t="inlineStr">
        <is>
          <t>General Medicine</t>
        </is>
      </c>
      <c r="E44" s="13" t="n">
        <v>133</v>
      </c>
      <c r="F44" s="13" t="n">
        <v>137</v>
      </c>
      <c r="G44" s="13" t="n">
        <v>663</v>
      </c>
      <c r="H44" s="13" t="n">
        <v>744</v>
      </c>
      <c r="I44" s="14" t="n">
        <v>4.84</v>
      </c>
      <c r="J44" s="62" t="n">
        <v>6.9</v>
      </c>
      <c r="K44" s="13" t="n">
        <v>124</v>
      </c>
      <c r="L44" s="13" t="n">
        <v>8</v>
      </c>
    </row>
    <row r="45">
      <c r="A45" s="11" t="inlineStr">
        <is>
          <t>HOSP-0044</t>
        </is>
      </c>
      <c r="B45" s="61" t="n">
        <v>45658</v>
      </c>
      <c r="C45" s="11" t="inlineStr">
        <is>
          <t>Site 09</t>
        </is>
      </c>
      <c r="D45" s="11" t="inlineStr">
        <is>
          <t>Nephrology</t>
        </is>
      </c>
      <c r="E45" s="13" t="n">
        <v>59</v>
      </c>
      <c r="F45" s="13" t="n">
        <v>63</v>
      </c>
      <c r="G45" s="13" t="n">
        <v>476</v>
      </c>
      <c r="H45" s="13" t="n">
        <v>558</v>
      </c>
      <c r="I45" s="14" t="n">
        <v>7.56</v>
      </c>
      <c r="J45" s="62" t="n">
        <v>12.1</v>
      </c>
      <c r="K45" s="13" t="n">
        <v>59</v>
      </c>
      <c r="L45" s="13" t="n">
        <v>6</v>
      </c>
    </row>
    <row r="46">
      <c r="A46" s="11" t="inlineStr">
        <is>
          <t>HOSP-0045</t>
        </is>
      </c>
      <c r="B46" s="61" t="n">
        <v>45658</v>
      </c>
      <c r="C46" s="11" t="inlineStr">
        <is>
          <t>Site 09</t>
        </is>
      </c>
      <c r="D46" s="11" t="inlineStr">
        <is>
          <t>Paediatrics</t>
        </is>
      </c>
      <c r="E46" s="13" t="n">
        <v>79</v>
      </c>
      <c r="F46" s="13" t="n">
        <v>80</v>
      </c>
      <c r="G46" s="13" t="n">
        <v>234</v>
      </c>
      <c r="H46" s="13" t="n">
        <v>341</v>
      </c>
      <c r="I46" s="14" t="n">
        <v>2.92</v>
      </c>
      <c r="J46" s="62" t="n">
        <v>6.3</v>
      </c>
      <c r="K46" s="13" t="n">
        <v>69</v>
      </c>
      <c r="L46" s="13" t="n">
        <v>4</v>
      </c>
    </row>
    <row r="47">
      <c r="A47" s="11" t="inlineStr">
        <is>
          <t>HOSP-0046</t>
        </is>
      </c>
      <c r="B47" s="61" t="n">
        <v>45658</v>
      </c>
      <c r="C47" s="11" t="inlineStr">
        <is>
          <t>Site 10</t>
        </is>
      </c>
      <c r="D47" s="11" t="inlineStr">
        <is>
          <t>Cardiology</t>
        </is>
      </c>
      <c r="E47" s="13" t="n">
        <v>107</v>
      </c>
      <c r="F47" s="13" t="n">
        <v>102</v>
      </c>
      <c r="G47" s="13" t="n">
        <v>562</v>
      </c>
      <c r="H47" s="13" t="n">
        <v>682</v>
      </c>
      <c r="I47" s="14" t="n">
        <v>5.51</v>
      </c>
      <c r="J47" s="62" t="n">
        <v>11.8</v>
      </c>
      <c r="K47" s="13" t="n">
        <v>91</v>
      </c>
      <c r="L47" s="13" t="n">
        <v>8</v>
      </c>
    </row>
    <row r="48">
      <c r="A48" s="11" t="inlineStr">
        <is>
          <t>HOSP-0047</t>
        </is>
      </c>
      <c r="B48" s="61" t="n">
        <v>45658</v>
      </c>
      <c r="C48" s="11" t="inlineStr">
        <is>
          <t>Site 10</t>
        </is>
      </c>
      <c r="D48" s="11" t="inlineStr">
        <is>
          <t>Orthopaedics</t>
        </is>
      </c>
      <c r="E48" s="13" t="n">
        <v>80</v>
      </c>
      <c r="F48" s="13" t="n">
        <v>83</v>
      </c>
      <c r="G48" s="13" t="n">
        <v>499</v>
      </c>
      <c r="H48" s="13" t="n">
        <v>589</v>
      </c>
      <c r="I48" s="14" t="n">
        <v>6.01</v>
      </c>
      <c r="J48" s="62" t="n">
        <v>14.5</v>
      </c>
      <c r="K48" s="13" t="n">
        <v>73</v>
      </c>
      <c r="L48" s="13" t="n">
        <v>11</v>
      </c>
    </row>
    <row r="49">
      <c r="A49" s="11" t="inlineStr">
        <is>
          <t>HOSP-0048</t>
        </is>
      </c>
      <c r="B49" s="61" t="n">
        <v>45658</v>
      </c>
      <c r="C49" s="11" t="inlineStr">
        <is>
          <t>Site 10</t>
        </is>
      </c>
      <c r="D49" s="11" t="inlineStr">
        <is>
          <t>General Medicine</t>
        </is>
      </c>
      <c r="E49" s="13" t="n">
        <v>180</v>
      </c>
      <c r="F49" s="13" t="n">
        <v>185</v>
      </c>
      <c r="G49" s="13" t="n">
        <v>714</v>
      </c>
      <c r="H49" s="13" t="n">
        <v>744</v>
      </c>
      <c r="I49" s="14" t="n">
        <v>3.86</v>
      </c>
      <c r="J49" s="62" t="n">
        <v>7.3</v>
      </c>
      <c r="K49" s="13" t="n">
        <v>165</v>
      </c>
      <c r="L49" s="13" t="n">
        <v>10</v>
      </c>
    </row>
    <row r="50">
      <c r="A50" s="11" t="inlineStr">
        <is>
          <t>HOSP-0049</t>
        </is>
      </c>
      <c r="B50" s="61" t="n">
        <v>45658</v>
      </c>
      <c r="C50" s="11" t="inlineStr">
        <is>
          <t>Site 10</t>
        </is>
      </c>
      <c r="D50" s="11" t="inlineStr">
        <is>
          <t>Nephrology</t>
        </is>
      </c>
      <c r="E50" s="13" t="n">
        <v>54</v>
      </c>
      <c r="F50" s="13" t="n">
        <v>49</v>
      </c>
      <c r="G50" s="13" t="n">
        <v>400</v>
      </c>
      <c r="H50" s="13" t="n">
        <v>558</v>
      </c>
      <c r="I50" s="14" t="n">
        <v>8.16</v>
      </c>
      <c r="J50" s="62" t="n">
        <v>13.2</v>
      </c>
      <c r="K50" s="13" t="n">
        <v>43</v>
      </c>
      <c r="L50" s="13" t="n">
        <v>5</v>
      </c>
    </row>
    <row r="51">
      <c r="A51" s="11" t="inlineStr">
        <is>
          <t>HOSP-0050</t>
        </is>
      </c>
      <c r="B51" s="61" t="n">
        <v>45658</v>
      </c>
      <c r="C51" s="11" t="inlineStr">
        <is>
          <t>Site 10</t>
        </is>
      </c>
      <c r="D51" s="11" t="inlineStr">
        <is>
          <t>Paediatrics</t>
        </is>
      </c>
      <c r="E51" s="13" t="n">
        <v>93</v>
      </c>
      <c r="F51" s="13" t="n">
        <v>97</v>
      </c>
      <c r="G51" s="13" t="n">
        <v>289</v>
      </c>
      <c r="H51" s="13" t="n">
        <v>341</v>
      </c>
      <c r="I51" s="14" t="n">
        <v>2.98</v>
      </c>
      <c r="J51" s="62" t="n">
        <v>6.1</v>
      </c>
      <c r="K51" s="13" t="n">
        <v>89</v>
      </c>
      <c r="L51" s="13" t="n">
        <v>4</v>
      </c>
    </row>
    <row r="52">
      <c r="A52" s="11" t="inlineStr">
        <is>
          <t>HOSP-0051</t>
        </is>
      </c>
      <c r="B52" s="61" t="n">
        <v>45689</v>
      </c>
      <c r="C52" s="11" t="inlineStr">
        <is>
          <t>Site 01</t>
        </is>
      </c>
      <c r="D52" s="11" t="inlineStr">
        <is>
          <t>Cardiology</t>
        </is>
      </c>
      <c r="E52" s="13" t="n">
        <v>117</v>
      </c>
      <c r="F52" s="13" t="n">
        <v>120</v>
      </c>
      <c r="G52" s="13" t="n">
        <v>594</v>
      </c>
      <c r="H52" s="13" t="n">
        <v>616</v>
      </c>
      <c r="I52" s="14" t="n">
        <v>4.95</v>
      </c>
      <c r="J52" s="62" t="n">
        <v>12.4</v>
      </c>
      <c r="K52" s="13" t="n">
        <v>108</v>
      </c>
      <c r="L52" s="13" t="n">
        <v>8</v>
      </c>
    </row>
    <row r="53">
      <c r="A53" s="11" t="inlineStr">
        <is>
          <t>HOSP-0052</t>
        </is>
      </c>
      <c r="B53" s="61" t="n">
        <v>45689</v>
      </c>
      <c r="C53" s="11" t="inlineStr">
        <is>
          <t>Site 01</t>
        </is>
      </c>
      <c r="D53" s="11" t="inlineStr">
        <is>
          <t>Orthopaedics</t>
        </is>
      </c>
      <c r="E53" s="13" t="n">
        <v>86</v>
      </c>
      <c r="F53" s="13" t="n">
        <v>81</v>
      </c>
      <c r="G53" s="13" t="n">
        <v>518</v>
      </c>
      <c r="H53" s="13" t="n">
        <v>532</v>
      </c>
      <c r="I53" s="14" t="n">
        <v>6.4</v>
      </c>
      <c r="J53" s="62" t="n">
        <v>13.4</v>
      </c>
      <c r="K53" s="13" t="n">
        <v>73</v>
      </c>
      <c r="L53" s="13" t="n">
        <v>10</v>
      </c>
    </row>
    <row r="54">
      <c r="A54" s="11" t="inlineStr">
        <is>
          <t>HOSP-0053</t>
        </is>
      </c>
      <c r="B54" s="61" t="n">
        <v>45689</v>
      </c>
      <c r="C54" s="11" t="inlineStr">
        <is>
          <t>Site 01</t>
        </is>
      </c>
      <c r="D54" s="11" t="inlineStr">
        <is>
          <t>General Medicine</t>
        </is>
      </c>
      <c r="E54" s="13" t="n">
        <v>180</v>
      </c>
      <c r="F54" s="13" t="n">
        <v>178</v>
      </c>
      <c r="G54" s="13" t="n">
        <v>642</v>
      </c>
      <c r="H54" s="13" t="n">
        <v>672</v>
      </c>
      <c r="I54" s="14" t="n">
        <v>3.61</v>
      </c>
      <c r="J54" s="62" t="n">
        <v>7.9</v>
      </c>
      <c r="K54" s="13" t="n">
        <v>163</v>
      </c>
      <c r="L54" s="13" t="n">
        <v>9</v>
      </c>
    </row>
    <row r="55">
      <c r="A55" s="11" t="inlineStr">
        <is>
          <t>HOSP-0054</t>
        </is>
      </c>
      <c r="B55" s="61" t="n">
        <v>45689</v>
      </c>
      <c r="C55" s="11" t="inlineStr">
        <is>
          <t>Site 01</t>
        </is>
      </c>
      <c r="D55" s="11" t="inlineStr">
        <is>
          <t>Nephrology</t>
        </is>
      </c>
      <c r="E55" s="13" t="n">
        <v>68</v>
      </c>
      <c r="F55" s="13" t="n">
        <v>66</v>
      </c>
      <c r="G55" s="13" t="n">
        <v>485</v>
      </c>
      <c r="H55" s="13" t="n">
        <v>504</v>
      </c>
      <c r="I55" s="14" t="n">
        <v>7.35</v>
      </c>
      <c r="J55" s="62" t="n">
        <v>14.3</v>
      </c>
      <c r="K55" s="13" t="n">
        <v>60</v>
      </c>
      <c r="L55" s="13" t="n">
        <v>7</v>
      </c>
    </row>
    <row r="56">
      <c r="A56" s="11" t="inlineStr">
        <is>
          <t>HOSP-0055</t>
        </is>
      </c>
      <c r="B56" s="61" t="n">
        <v>45689</v>
      </c>
      <c r="C56" s="11" t="inlineStr">
        <is>
          <t>Site 01</t>
        </is>
      </c>
      <c r="D56" s="11" t="inlineStr">
        <is>
          <t>Paediatrics</t>
        </is>
      </c>
      <c r="E56" s="13" t="n">
        <v>100</v>
      </c>
      <c r="F56" s="13" t="n">
        <v>96</v>
      </c>
      <c r="G56" s="13" t="n">
        <v>301</v>
      </c>
      <c r="H56" s="13" t="n">
        <v>308</v>
      </c>
      <c r="I56" s="14" t="n">
        <v>3.14</v>
      </c>
      <c r="J56" s="62" t="n">
        <v>6.6</v>
      </c>
      <c r="K56" s="13" t="n">
        <v>85</v>
      </c>
      <c r="L56" s="13" t="n">
        <v>5</v>
      </c>
    </row>
    <row r="57">
      <c r="A57" s="11" t="inlineStr">
        <is>
          <t>HOSP-0056</t>
        </is>
      </c>
      <c r="B57" s="61" t="n">
        <v>45689</v>
      </c>
      <c r="C57" s="11" t="inlineStr">
        <is>
          <t>Site 02</t>
        </is>
      </c>
      <c r="D57" s="11" t="inlineStr">
        <is>
          <t>Cardiology</t>
        </is>
      </c>
      <c r="E57" s="13" t="n">
        <v>99</v>
      </c>
      <c r="F57" s="13" t="n">
        <v>103</v>
      </c>
      <c r="G57" s="13" t="n">
        <v>578</v>
      </c>
      <c r="H57" s="13" t="n">
        <v>616</v>
      </c>
      <c r="I57" s="14" t="n">
        <v>5.61</v>
      </c>
      <c r="J57" s="62" t="n">
        <v>10.3</v>
      </c>
      <c r="K57" s="13" t="n">
        <v>94</v>
      </c>
      <c r="L57" s="13" t="n">
        <v>9</v>
      </c>
    </row>
    <row r="58">
      <c r="A58" s="11" t="inlineStr">
        <is>
          <t>HOSP-0057</t>
        </is>
      </c>
      <c r="B58" s="61" t="n">
        <v>45689</v>
      </c>
      <c r="C58" s="11" t="inlineStr">
        <is>
          <t>Site 02</t>
        </is>
      </c>
      <c r="D58" s="11" t="inlineStr">
        <is>
          <t>Orthopaedics</t>
        </is>
      </c>
      <c r="E58" s="13" t="n">
        <v>87</v>
      </c>
      <c r="F58" s="13" t="n">
        <v>88</v>
      </c>
      <c r="G58" s="13" t="n">
        <v>501</v>
      </c>
      <c r="H58" s="13" t="n">
        <v>532</v>
      </c>
      <c r="I58" s="14" t="n">
        <v>5.69</v>
      </c>
      <c r="J58" s="62" t="n">
        <v>13.9</v>
      </c>
      <c r="K58" s="13" t="n">
        <v>82</v>
      </c>
      <c r="L58" s="13" t="n">
        <v>10</v>
      </c>
    </row>
    <row r="59">
      <c r="A59" s="11" t="inlineStr">
        <is>
          <t>HOSP-0058</t>
        </is>
      </c>
      <c r="B59" s="61" t="n">
        <v>45689</v>
      </c>
      <c r="C59" s="11" t="inlineStr">
        <is>
          <t>Site 02</t>
        </is>
      </c>
      <c r="D59" s="11" t="inlineStr">
        <is>
          <t>General Medicine</t>
        </is>
      </c>
      <c r="E59" s="13" t="n">
        <v>171</v>
      </c>
      <c r="F59" s="13" t="n">
        <v>166</v>
      </c>
      <c r="G59" s="13" t="n">
        <v>658</v>
      </c>
      <c r="H59" s="13" t="n">
        <v>672</v>
      </c>
      <c r="I59" s="14" t="n">
        <v>3.96</v>
      </c>
      <c r="J59" s="62" t="n">
        <v>7</v>
      </c>
      <c r="K59" s="13" t="n">
        <v>146</v>
      </c>
      <c r="L59" s="13" t="n">
        <v>7</v>
      </c>
    </row>
    <row r="60">
      <c r="A60" s="11" t="inlineStr">
        <is>
          <t>HOSP-0059</t>
        </is>
      </c>
      <c r="B60" s="61" t="n">
        <v>45689</v>
      </c>
      <c r="C60" s="11" t="inlineStr">
        <is>
          <t>Site 02</t>
        </is>
      </c>
      <c r="D60" s="11" t="inlineStr">
        <is>
          <t>Nephrology</t>
        </is>
      </c>
      <c r="E60" s="13" t="n">
        <v>54</v>
      </c>
      <c r="F60" s="13" t="n">
        <v>54</v>
      </c>
      <c r="G60" s="13" t="n">
        <v>417</v>
      </c>
      <c r="H60" s="13" t="n">
        <v>504</v>
      </c>
      <c r="I60" s="14" t="n">
        <v>7.72</v>
      </c>
      <c r="J60" s="62" t="n">
        <v>14.2</v>
      </c>
      <c r="K60" s="13" t="n">
        <v>49</v>
      </c>
      <c r="L60" s="13" t="n">
        <v>3</v>
      </c>
    </row>
    <row r="61">
      <c r="A61" s="11" t="inlineStr">
        <is>
          <t>HOSP-0060</t>
        </is>
      </c>
      <c r="B61" s="61" t="n">
        <v>45689</v>
      </c>
      <c r="C61" s="11" t="inlineStr">
        <is>
          <t>Site 02</t>
        </is>
      </c>
      <c r="D61" s="11" t="inlineStr">
        <is>
          <t>Paediatrics</t>
        </is>
      </c>
      <c r="E61" s="13" t="n">
        <v>89</v>
      </c>
      <c r="F61" s="13" t="n">
        <v>91</v>
      </c>
      <c r="G61" s="13" t="n">
        <v>292</v>
      </c>
      <c r="H61" s="13" t="n">
        <v>308</v>
      </c>
      <c r="I61" s="14" t="n">
        <v>3.21</v>
      </c>
      <c r="J61" s="62" t="n">
        <v>6.8</v>
      </c>
      <c r="K61" s="13" t="n">
        <v>82</v>
      </c>
      <c r="L61" s="13" t="n">
        <v>3</v>
      </c>
    </row>
    <row r="62">
      <c r="A62" s="11" t="inlineStr">
        <is>
          <t>HOSP-0061</t>
        </is>
      </c>
      <c r="B62" s="61" t="n">
        <v>45689</v>
      </c>
      <c r="C62" s="11" t="inlineStr">
        <is>
          <t>Site 03</t>
        </is>
      </c>
      <c r="D62" s="11" t="inlineStr">
        <is>
          <t>Cardiology</t>
        </is>
      </c>
      <c r="E62" s="13" t="n">
        <v>117</v>
      </c>
      <c r="F62" s="13" t="n">
        <v>121</v>
      </c>
      <c r="G62" s="13" t="n">
        <v>587</v>
      </c>
      <c r="H62" s="13" t="n">
        <v>616</v>
      </c>
      <c r="I62" s="14" t="n">
        <v>4.85</v>
      </c>
      <c r="J62" s="62" t="n">
        <v>12.4</v>
      </c>
      <c r="K62" s="13" t="n">
        <v>110</v>
      </c>
      <c r="L62" s="13" t="n">
        <v>10</v>
      </c>
    </row>
    <row r="63">
      <c r="A63" s="11" t="inlineStr">
        <is>
          <t>HOSP-0062</t>
        </is>
      </c>
      <c r="B63" s="61" t="n">
        <v>45689</v>
      </c>
      <c r="C63" s="11" t="inlineStr">
        <is>
          <t>Site 03</t>
        </is>
      </c>
      <c r="D63" s="11" t="inlineStr">
        <is>
          <t>Orthopaedics</t>
        </is>
      </c>
      <c r="E63" s="13" t="n">
        <v>84</v>
      </c>
      <c r="F63" s="13" t="n">
        <v>79</v>
      </c>
      <c r="G63" s="13" t="n">
        <v>521</v>
      </c>
      <c r="H63" s="13" t="n">
        <v>532</v>
      </c>
      <c r="I63" s="14" t="n">
        <v>6.59</v>
      </c>
      <c r="J63" s="62" t="n">
        <v>15.8</v>
      </c>
      <c r="K63" s="13" t="n">
        <v>74</v>
      </c>
      <c r="L63" s="13" t="n">
        <v>10</v>
      </c>
    </row>
    <row r="64">
      <c r="A64" s="11" t="inlineStr">
        <is>
          <t>HOSP-0063</t>
        </is>
      </c>
      <c r="B64" s="61" t="n">
        <v>45689</v>
      </c>
      <c r="C64" s="11" t="inlineStr">
        <is>
          <t>Site 03</t>
        </is>
      </c>
      <c r="D64" s="11" t="inlineStr">
        <is>
          <t>General Medicine</t>
        </is>
      </c>
      <c r="E64" s="13" t="n">
        <v>178</v>
      </c>
      <c r="F64" s="13" t="n">
        <v>182</v>
      </c>
      <c r="G64" s="13" t="n">
        <v>636</v>
      </c>
      <c r="H64" s="13" t="n">
        <v>672</v>
      </c>
      <c r="I64" s="14" t="n">
        <v>3.49</v>
      </c>
      <c r="J64" s="62" t="n">
        <v>8.4</v>
      </c>
      <c r="K64" s="13" t="n">
        <v>170</v>
      </c>
      <c r="L64" s="13" t="n">
        <v>8</v>
      </c>
    </row>
    <row r="65">
      <c r="A65" s="11" t="inlineStr">
        <is>
          <t>HOSP-0064</t>
        </is>
      </c>
      <c r="B65" s="61" t="n">
        <v>45689</v>
      </c>
      <c r="C65" s="11" t="inlineStr">
        <is>
          <t>Site 03</t>
        </is>
      </c>
      <c r="D65" s="11" t="inlineStr">
        <is>
          <t>Nephrology</t>
        </is>
      </c>
      <c r="E65" s="13" t="n">
        <v>63</v>
      </c>
      <c r="F65" s="13" t="n">
        <v>61</v>
      </c>
      <c r="G65" s="13" t="n">
        <v>487</v>
      </c>
      <c r="H65" s="13" t="n">
        <v>504</v>
      </c>
      <c r="I65" s="14" t="n">
        <v>7.98</v>
      </c>
      <c r="J65" s="62" t="n">
        <v>11.3</v>
      </c>
      <c r="K65" s="13" t="n">
        <v>56</v>
      </c>
      <c r="L65" s="13" t="n">
        <v>6</v>
      </c>
    </row>
    <row r="66">
      <c r="A66" s="11" t="inlineStr">
        <is>
          <t>HOSP-0065</t>
        </is>
      </c>
      <c r="B66" s="61" t="n">
        <v>45689</v>
      </c>
      <c r="C66" s="11" t="inlineStr">
        <is>
          <t>Site 03</t>
        </is>
      </c>
      <c r="D66" s="11" t="inlineStr">
        <is>
          <t>Paediatrics</t>
        </is>
      </c>
      <c r="E66" s="13" t="n">
        <v>99</v>
      </c>
      <c r="F66" s="13" t="n">
        <v>101</v>
      </c>
      <c r="G66" s="13" t="n">
        <v>304</v>
      </c>
      <c r="H66" s="13" t="n">
        <v>308</v>
      </c>
      <c r="I66" s="14" t="n">
        <v>3.01</v>
      </c>
      <c r="J66" s="62" t="n">
        <v>6.9</v>
      </c>
      <c r="K66" s="13" t="n">
        <v>94</v>
      </c>
      <c r="L66" s="13" t="n">
        <v>5</v>
      </c>
    </row>
    <row r="67">
      <c r="A67" s="11" t="inlineStr">
        <is>
          <t>HOSP-0066</t>
        </is>
      </c>
      <c r="B67" s="61" t="n">
        <v>45689</v>
      </c>
      <c r="C67" s="11" t="inlineStr">
        <is>
          <t>Site 04</t>
        </is>
      </c>
      <c r="D67" s="11" t="inlineStr">
        <is>
          <t>Cardiology</t>
        </is>
      </c>
      <c r="E67" s="13" t="n">
        <v>100</v>
      </c>
      <c r="F67" s="13" t="n">
        <v>106</v>
      </c>
      <c r="G67" s="13" t="n">
        <v>600</v>
      </c>
      <c r="H67" s="13" t="n">
        <v>616</v>
      </c>
      <c r="I67" s="14" t="n">
        <v>5.66</v>
      </c>
      <c r="J67" s="62" t="n">
        <v>10.6</v>
      </c>
      <c r="K67" s="13" t="n">
        <v>95</v>
      </c>
      <c r="L67" s="13" t="n">
        <v>5</v>
      </c>
    </row>
    <row r="68">
      <c r="A68" s="11" t="inlineStr">
        <is>
          <t>HOSP-0067</t>
        </is>
      </c>
      <c r="B68" s="61" t="n">
        <v>45689</v>
      </c>
      <c r="C68" s="11" t="inlineStr">
        <is>
          <t>Site 04</t>
        </is>
      </c>
      <c r="D68" s="11" t="inlineStr">
        <is>
          <t>Orthopaedics</t>
        </is>
      </c>
      <c r="E68" s="13" t="n">
        <v>76</v>
      </c>
      <c r="F68" s="13" t="n">
        <v>82</v>
      </c>
      <c r="G68" s="13" t="n">
        <v>491</v>
      </c>
      <c r="H68" s="13" t="n">
        <v>532</v>
      </c>
      <c r="I68" s="14" t="n">
        <v>5.99</v>
      </c>
      <c r="J68" s="62" t="n">
        <v>14.7</v>
      </c>
      <c r="K68" s="13" t="n">
        <v>77</v>
      </c>
      <c r="L68" s="13" t="n">
        <v>11</v>
      </c>
    </row>
    <row r="69">
      <c r="A69" s="11" t="inlineStr">
        <is>
          <t>HOSP-0068</t>
        </is>
      </c>
      <c r="B69" s="61" t="n">
        <v>45689</v>
      </c>
      <c r="C69" s="11" t="inlineStr">
        <is>
          <t>Site 04</t>
        </is>
      </c>
      <c r="D69" s="11" t="inlineStr">
        <is>
          <t>General Medicine</t>
        </is>
      </c>
      <c r="E69" s="13" t="n">
        <v>150</v>
      </c>
      <c r="F69" s="13" t="n">
        <v>149</v>
      </c>
      <c r="G69" s="13" t="n">
        <v>529</v>
      </c>
      <c r="H69" s="13" t="n">
        <v>672</v>
      </c>
      <c r="I69" s="14" t="n">
        <v>3.55</v>
      </c>
      <c r="J69" s="62" t="n">
        <v>8.1</v>
      </c>
      <c r="K69" s="13" t="n">
        <v>132</v>
      </c>
      <c r="L69" s="13" t="n">
        <v>9</v>
      </c>
    </row>
    <row r="70">
      <c r="A70" s="11" t="inlineStr">
        <is>
          <t>HOSP-0069</t>
        </is>
      </c>
      <c r="B70" s="61" t="n">
        <v>45689</v>
      </c>
      <c r="C70" s="11" t="inlineStr">
        <is>
          <t>Site 04</t>
        </is>
      </c>
      <c r="D70" s="11" t="inlineStr">
        <is>
          <t>Nephrology</t>
        </is>
      </c>
      <c r="E70" s="13" t="n">
        <v>64</v>
      </c>
      <c r="F70" s="13" t="n">
        <v>66</v>
      </c>
      <c r="G70" s="13" t="n">
        <v>490</v>
      </c>
      <c r="H70" s="13" t="n">
        <v>504</v>
      </c>
      <c r="I70" s="14" t="n">
        <v>7.42</v>
      </c>
      <c r="J70" s="62" t="n">
        <v>13.6</v>
      </c>
      <c r="K70" s="13" t="n">
        <v>61</v>
      </c>
      <c r="L70" s="13" t="n">
        <v>6</v>
      </c>
    </row>
    <row r="71">
      <c r="A71" s="11" t="inlineStr">
        <is>
          <t>HOSP-0070</t>
        </is>
      </c>
      <c r="B71" s="61" t="n">
        <v>45689</v>
      </c>
      <c r="C71" s="11" t="inlineStr">
        <is>
          <t>Site 04</t>
        </is>
      </c>
      <c r="D71" s="11" t="inlineStr">
        <is>
          <t>Paediatrics</t>
        </is>
      </c>
      <c r="E71" s="13" t="n">
        <v>90</v>
      </c>
      <c r="F71" s="13" t="n">
        <v>96</v>
      </c>
      <c r="G71" s="13" t="n">
        <v>303</v>
      </c>
      <c r="H71" s="13" t="n">
        <v>308</v>
      </c>
      <c r="I71" s="14" t="n">
        <v>3.16</v>
      </c>
      <c r="J71" s="62" t="n">
        <v>6.7</v>
      </c>
      <c r="K71" s="13" t="n">
        <v>84</v>
      </c>
      <c r="L71" s="13" t="n">
        <v>4</v>
      </c>
    </row>
    <row r="72">
      <c r="A72" s="11" t="inlineStr">
        <is>
          <t>HOSP-0071</t>
        </is>
      </c>
      <c r="B72" s="61" t="n">
        <v>45689</v>
      </c>
      <c r="C72" s="11" t="inlineStr">
        <is>
          <t>Site 05</t>
        </is>
      </c>
      <c r="D72" s="11" t="inlineStr">
        <is>
          <t>Cardiology</t>
        </is>
      </c>
      <c r="E72" s="13" t="n">
        <v>100</v>
      </c>
      <c r="F72" s="13" t="n">
        <v>105</v>
      </c>
      <c r="G72" s="13" t="n">
        <v>558</v>
      </c>
      <c r="H72" s="13" t="n">
        <v>616</v>
      </c>
      <c r="I72" s="14" t="n">
        <v>5.31</v>
      </c>
      <c r="J72" s="62" t="n">
        <v>11.5</v>
      </c>
      <c r="K72" s="13" t="n">
        <v>95</v>
      </c>
      <c r="L72" s="13" t="n">
        <v>6</v>
      </c>
    </row>
    <row r="73">
      <c r="A73" s="11" t="inlineStr">
        <is>
          <t>HOSP-0072</t>
        </is>
      </c>
      <c r="B73" s="61" t="n">
        <v>45689</v>
      </c>
      <c r="C73" s="11" t="inlineStr">
        <is>
          <t>Site 05</t>
        </is>
      </c>
      <c r="D73" s="11" t="inlineStr">
        <is>
          <t>Orthopaedics</t>
        </is>
      </c>
      <c r="E73" s="13" t="n">
        <v>62</v>
      </c>
      <c r="F73" s="13" t="n">
        <v>56</v>
      </c>
      <c r="G73" s="13" t="n">
        <v>303</v>
      </c>
      <c r="H73" s="13" t="n">
        <v>532</v>
      </c>
      <c r="I73" s="14" t="n">
        <v>5.41</v>
      </c>
      <c r="J73" s="62" t="n">
        <v>12.9</v>
      </c>
      <c r="K73" s="13" t="n">
        <v>52</v>
      </c>
      <c r="L73" s="13" t="n">
        <v>6</v>
      </c>
    </row>
    <row r="74">
      <c r="A74" s="11" t="inlineStr">
        <is>
          <t>HOSP-0073</t>
        </is>
      </c>
      <c r="B74" s="61" t="n">
        <v>45689</v>
      </c>
      <c r="C74" s="11" t="inlineStr">
        <is>
          <t>Site 05</t>
        </is>
      </c>
      <c r="D74" s="11" t="inlineStr">
        <is>
          <t>General Medicine</t>
        </is>
      </c>
      <c r="E74" s="13" t="n">
        <v>140</v>
      </c>
      <c r="F74" s="13" t="n">
        <v>144</v>
      </c>
      <c r="G74" s="13" t="n">
        <v>641</v>
      </c>
      <c r="H74" s="13" t="n">
        <v>672</v>
      </c>
      <c r="I74" s="14" t="n">
        <v>4.45</v>
      </c>
      <c r="J74" s="62" t="n">
        <v>7.9</v>
      </c>
      <c r="K74" s="13" t="n">
        <v>125</v>
      </c>
      <c r="L74" s="13" t="n">
        <v>7</v>
      </c>
    </row>
    <row r="75">
      <c r="A75" s="11" t="inlineStr">
        <is>
          <t>HOSP-0074</t>
        </is>
      </c>
      <c r="B75" s="61" t="n">
        <v>45689</v>
      </c>
      <c r="C75" s="11" t="inlineStr">
        <is>
          <t>Site 05</t>
        </is>
      </c>
      <c r="D75" s="11" t="inlineStr">
        <is>
          <t>Nephrology</t>
        </is>
      </c>
      <c r="E75" s="13" t="n">
        <v>56</v>
      </c>
      <c r="F75" s="13" t="n">
        <v>59</v>
      </c>
      <c r="G75" s="13" t="n">
        <v>477</v>
      </c>
      <c r="H75" s="13" t="n">
        <v>504</v>
      </c>
      <c r="I75" s="14" t="n">
        <v>8.08</v>
      </c>
      <c r="J75" s="62" t="n">
        <v>11.2</v>
      </c>
      <c r="K75" s="13" t="n">
        <v>51</v>
      </c>
      <c r="L75" s="13" t="n">
        <v>3</v>
      </c>
    </row>
    <row r="76">
      <c r="A76" s="11" t="inlineStr">
        <is>
          <t>HOSP-0075</t>
        </is>
      </c>
      <c r="B76" s="61" t="n">
        <v>45689</v>
      </c>
      <c r="C76" s="11" t="inlineStr">
        <is>
          <t>Site 05</t>
        </is>
      </c>
      <c r="D76" s="11" t="inlineStr">
        <is>
          <t>Paediatrics</t>
        </is>
      </c>
      <c r="E76" s="13" t="n">
        <v>74</v>
      </c>
      <c r="F76" s="13" t="n">
        <v>68</v>
      </c>
      <c r="G76" s="13" t="n">
        <v>228</v>
      </c>
      <c r="H76" s="13" t="n">
        <v>308</v>
      </c>
      <c r="I76" s="14" t="n">
        <v>3.35</v>
      </c>
      <c r="J76" s="62" t="n">
        <v>7.8</v>
      </c>
      <c r="K76" s="13" t="n">
        <v>62</v>
      </c>
      <c r="L76" s="13" t="n">
        <v>3</v>
      </c>
    </row>
    <row r="77">
      <c r="A77" s="11" t="inlineStr">
        <is>
          <t>HOSP-0076</t>
        </is>
      </c>
      <c r="B77" s="61" t="n">
        <v>45689</v>
      </c>
      <c r="C77" s="11" t="inlineStr">
        <is>
          <t>Site 06</t>
        </is>
      </c>
      <c r="D77" s="11" t="inlineStr">
        <is>
          <t>Cardiology</t>
        </is>
      </c>
      <c r="E77" s="13" t="n">
        <v>117</v>
      </c>
      <c r="F77" s="13" t="n">
        <v>114</v>
      </c>
      <c r="G77" s="13" t="n">
        <v>606</v>
      </c>
      <c r="H77" s="13" t="n">
        <v>616</v>
      </c>
      <c r="I77" s="14" t="n">
        <v>5.32</v>
      </c>
      <c r="J77" s="62" t="n">
        <v>8.199999999999999</v>
      </c>
      <c r="K77" s="13" t="n">
        <v>100</v>
      </c>
      <c r="L77" s="13" t="n">
        <v>7</v>
      </c>
    </row>
    <row r="78">
      <c r="A78" s="11" t="inlineStr">
        <is>
          <t>HOSP-0077</t>
        </is>
      </c>
      <c r="B78" s="61" t="n">
        <v>45689</v>
      </c>
      <c r="C78" s="11" t="inlineStr">
        <is>
          <t>Site 06</t>
        </is>
      </c>
      <c r="D78" s="11" t="inlineStr">
        <is>
          <t>Orthopaedics</t>
        </is>
      </c>
      <c r="E78" s="13" t="n">
        <v>87</v>
      </c>
      <c r="F78" s="13" t="n">
        <v>85</v>
      </c>
      <c r="G78" s="13" t="n">
        <v>513</v>
      </c>
      <c r="H78" s="13" t="n">
        <v>532</v>
      </c>
      <c r="I78" s="14" t="n">
        <v>6.04</v>
      </c>
      <c r="J78" s="62" t="n">
        <v>14.7</v>
      </c>
      <c r="K78" s="13" t="n">
        <v>77</v>
      </c>
      <c r="L78" s="13" t="n">
        <v>11</v>
      </c>
    </row>
    <row r="79">
      <c r="A79" s="11" t="inlineStr">
        <is>
          <t>HOSP-0078</t>
        </is>
      </c>
      <c r="B79" s="61" t="n">
        <v>45689</v>
      </c>
      <c r="C79" s="11" t="inlineStr">
        <is>
          <t>Site 06</t>
        </is>
      </c>
      <c r="D79" s="11" t="inlineStr">
        <is>
          <t>General Medicine</t>
        </is>
      </c>
      <c r="E79" s="13" t="n">
        <v>180</v>
      </c>
      <c r="F79" s="13" t="n">
        <v>185</v>
      </c>
      <c r="G79" s="13" t="n">
        <v>641</v>
      </c>
      <c r="H79" s="13" t="n">
        <v>672</v>
      </c>
      <c r="I79" s="14" t="n">
        <v>3.46</v>
      </c>
      <c r="J79" s="62" t="n">
        <v>6.6</v>
      </c>
      <c r="K79" s="13" t="n">
        <v>169</v>
      </c>
      <c r="L79" s="13" t="n">
        <v>10</v>
      </c>
    </row>
    <row r="80">
      <c r="A80" s="11" t="inlineStr">
        <is>
          <t>HOSP-0079</t>
        </is>
      </c>
      <c r="B80" s="61" t="n">
        <v>45689</v>
      </c>
      <c r="C80" s="11" t="inlineStr">
        <is>
          <t>Site 06</t>
        </is>
      </c>
      <c r="D80" s="11" t="inlineStr">
        <is>
          <t>Nephrology</t>
        </is>
      </c>
      <c r="E80" s="13" t="n">
        <v>71</v>
      </c>
      <c r="F80" s="13" t="n">
        <v>67</v>
      </c>
      <c r="G80" s="13" t="n">
        <v>483</v>
      </c>
      <c r="H80" s="13" t="n">
        <v>504</v>
      </c>
      <c r="I80" s="14" t="n">
        <v>7.21</v>
      </c>
      <c r="J80" s="62" t="n">
        <v>15.4</v>
      </c>
      <c r="K80" s="13" t="n">
        <v>58</v>
      </c>
      <c r="L80" s="13" t="n">
        <v>5</v>
      </c>
    </row>
    <row r="81">
      <c r="A81" s="11" t="inlineStr">
        <is>
          <t>HOSP-0080</t>
        </is>
      </c>
      <c r="B81" s="61" t="n">
        <v>45689</v>
      </c>
      <c r="C81" s="11" t="inlineStr">
        <is>
          <t>Site 06</t>
        </is>
      </c>
      <c r="D81" s="11" t="inlineStr">
        <is>
          <t>Paediatrics</t>
        </is>
      </c>
      <c r="E81" s="13" t="n">
        <v>103</v>
      </c>
      <c r="F81" s="13" t="n">
        <v>98</v>
      </c>
      <c r="G81" s="13" t="n">
        <v>296</v>
      </c>
      <c r="H81" s="13" t="n">
        <v>308</v>
      </c>
      <c r="I81" s="14" t="n">
        <v>3.02</v>
      </c>
      <c r="J81" s="62" t="n">
        <v>6.8</v>
      </c>
      <c r="K81" s="13" t="n">
        <v>89</v>
      </c>
      <c r="L81" s="13" t="n">
        <v>5</v>
      </c>
    </row>
    <row r="82">
      <c r="A82" s="11" t="inlineStr">
        <is>
          <t>HOSP-0081</t>
        </is>
      </c>
      <c r="B82" s="61" t="n">
        <v>45689</v>
      </c>
      <c r="C82" s="11" t="inlineStr">
        <is>
          <t>Site 07</t>
        </is>
      </c>
      <c r="D82" s="11" t="inlineStr">
        <is>
          <t>Cardiology</t>
        </is>
      </c>
      <c r="E82" s="13" t="n">
        <v>112</v>
      </c>
      <c r="F82" s="13" t="n">
        <v>116</v>
      </c>
      <c r="G82" s="13" t="n">
        <v>544</v>
      </c>
      <c r="H82" s="13" t="n">
        <v>616</v>
      </c>
      <c r="I82" s="14" t="n">
        <v>4.69</v>
      </c>
      <c r="J82" s="62" t="n">
        <v>9.1</v>
      </c>
      <c r="K82" s="13" t="n">
        <v>100</v>
      </c>
      <c r="L82" s="13" t="n">
        <v>8</v>
      </c>
    </row>
    <row r="83">
      <c r="A83" s="11" t="inlineStr">
        <is>
          <t>HOSP-0082</t>
        </is>
      </c>
      <c r="B83" s="61" t="n">
        <v>45689</v>
      </c>
      <c r="C83" s="11" t="inlineStr">
        <is>
          <t>Site 07</t>
        </is>
      </c>
      <c r="D83" s="11" t="inlineStr">
        <is>
          <t>Orthopaedics</t>
        </is>
      </c>
      <c r="E83" s="13" t="n">
        <v>96</v>
      </c>
      <c r="F83" s="13" t="n">
        <v>92</v>
      </c>
      <c r="G83" s="13" t="n">
        <v>515</v>
      </c>
      <c r="H83" s="13" t="n">
        <v>532</v>
      </c>
      <c r="I83" s="14" t="n">
        <v>5.6</v>
      </c>
      <c r="J83" s="62" t="n">
        <v>14.6</v>
      </c>
      <c r="K83" s="13" t="n">
        <v>84</v>
      </c>
      <c r="L83" s="13" t="n">
        <v>10</v>
      </c>
    </row>
    <row r="84">
      <c r="A84" s="11" t="inlineStr">
        <is>
          <t>HOSP-0083</t>
        </is>
      </c>
      <c r="B84" s="61" t="n">
        <v>45689</v>
      </c>
      <c r="C84" s="11" t="inlineStr">
        <is>
          <t>Site 07</t>
        </is>
      </c>
      <c r="D84" s="11" t="inlineStr">
        <is>
          <t>General Medicine</t>
        </is>
      </c>
      <c r="E84" s="13" t="n">
        <v>172</v>
      </c>
      <c r="F84" s="13" t="n">
        <v>174</v>
      </c>
      <c r="G84" s="13" t="n">
        <v>650</v>
      </c>
      <c r="H84" s="13" t="n">
        <v>672</v>
      </c>
      <c r="I84" s="14" t="n">
        <v>3.74</v>
      </c>
      <c r="J84" s="62" t="n">
        <v>6.9</v>
      </c>
      <c r="K84" s="13" t="n">
        <v>158</v>
      </c>
      <c r="L84" s="13" t="n">
        <v>14</v>
      </c>
    </row>
    <row r="85">
      <c r="A85" s="11" t="inlineStr">
        <is>
          <t>HOSP-0084</t>
        </is>
      </c>
      <c r="B85" s="61" t="n">
        <v>45689</v>
      </c>
      <c r="C85" s="11" t="inlineStr">
        <is>
          <t>Site 07</t>
        </is>
      </c>
      <c r="D85" s="11" t="inlineStr">
        <is>
          <t>Nephrology</t>
        </is>
      </c>
      <c r="E85" s="13" t="n">
        <v>63</v>
      </c>
      <c r="F85" s="13" t="n">
        <v>61</v>
      </c>
      <c r="G85" s="13" t="n">
        <v>496</v>
      </c>
      <c r="H85" s="13" t="n">
        <v>504</v>
      </c>
      <c r="I85" s="14" t="n">
        <v>8.130000000000001</v>
      </c>
      <c r="J85" s="62" t="n">
        <v>13.4</v>
      </c>
      <c r="K85" s="13" t="n">
        <v>55</v>
      </c>
      <c r="L85" s="13" t="n">
        <v>5</v>
      </c>
    </row>
    <row r="86">
      <c r="A86" s="11" t="inlineStr">
        <is>
          <t>HOSP-0085</t>
        </is>
      </c>
      <c r="B86" s="61" t="n">
        <v>45689</v>
      </c>
      <c r="C86" s="11" t="inlineStr">
        <is>
          <t>Site 07</t>
        </is>
      </c>
      <c r="D86" s="11" t="inlineStr">
        <is>
          <t>Paediatrics</t>
        </is>
      </c>
      <c r="E86" s="13" t="n">
        <v>91</v>
      </c>
      <c r="F86" s="13" t="n">
        <v>88</v>
      </c>
      <c r="G86" s="13" t="n">
        <v>267</v>
      </c>
      <c r="H86" s="13" t="n">
        <v>308</v>
      </c>
      <c r="I86" s="14" t="n">
        <v>3.03</v>
      </c>
      <c r="J86" s="62" t="n">
        <v>7</v>
      </c>
      <c r="K86" s="13" t="n">
        <v>82</v>
      </c>
      <c r="L86" s="13" t="n">
        <v>4</v>
      </c>
    </row>
    <row r="87">
      <c r="A87" s="11" t="inlineStr">
        <is>
          <t>HOSP-0086</t>
        </is>
      </c>
      <c r="B87" s="61" t="n">
        <v>45689</v>
      </c>
      <c r="C87" s="11" t="inlineStr">
        <is>
          <t>Site 08</t>
        </is>
      </c>
      <c r="D87" s="11" t="inlineStr">
        <is>
          <t>Cardiology</t>
        </is>
      </c>
      <c r="E87" s="13" t="n">
        <v>117</v>
      </c>
      <c r="F87" s="13" t="n">
        <v>115</v>
      </c>
      <c r="G87" s="13" t="n">
        <v>584</v>
      </c>
      <c r="H87" s="13" t="n">
        <v>616</v>
      </c>
      <c r="I87" s="14" t="n">
        <v>5.08</v>
      </c>
      <c r="J87" s="62" t="n">
        <v>11.7</v>
      </c>
      <c r="K87" s="13" t="n">
        <v>106</v>
      </c>
      <c r="L87" s="13" t="n">
        <v>8</v>
      </c>
    </row>
    <row r="88">
      <c r="A88" s="11" t="inlineStr">
        <is>
          <t>HOSP-0087</t>
        </is>
      </c>
      <c r="B88" s="61" t="n">
        <v>45689</v>
      </c>
      <c r="C88" s="11" t="inlineStr">
        <is>
          <t>Site 08</t>
        </is>
      </c>
      <c r="D88" s="11" t="inlineStr">
        <is>
          <t>Orthopaedics</t>
        </is>
      </c>
      <c r="E88" s="13" t="n">
        <v>74</v>
      </c>
      <c r="F88" s="13" t="n">
        <v>77</v>
      </c>
      <c r="G88" s="13" t="n">
        <v>523</v>
      </c>
      <c r="H88" s="13" t="n">
        <v>532</v>
      </c>
      <c r="I88" s="14" t="n">
        <v>6.79</v>
      </c>
      <c r="J88" s="62" t="n">
        <v>15.5</v>
      </c>
      <c r="K88" s="13" t="n">
        <v>70</v>
      </c>
      <c r="L88" s="13" t="n">
        <v>7</v>
      </c>
    </row>
    <row r="89">
      <c r="A89" s="11" t="inlineStr">
        <is>
          <t>HOSP-0088</t>
        </is>
      </c>
      <c r="B89" s="61" t="n">
        <v>45689</v>
      </c>
      <c r="C89" s="11" t="inlineStr">
        <is>
          <t>Site 08</t>
        </is>
      </c>
      <c r="D89" s="11" t="inlineStr">
        <is>
          <t>General Medicine</t>
        </is>
      </c>
      <c r="E89" s="13" t="n">
        <v>136</v>
      </c>
      <c r="F89" s="13" t="n">
        <v>141</v>
      </c>
      <c r="G89" s="13" t="n">
        <v>562</v>
      </c>
      <c r="H89" s="13" t="n">
        <v>672</v>
      </c>
      <c r="I89" s="14" t="n">
        <v>3.99</v>
      </c>
      <c r="J89" s="62" t="n">
        <v>10.3</v>
      </c>
      <c r="K89" s="13" t="n">
        <v>130</v>
      </c>
      <c r="L89" s="13" t="n">
        <v>7</v>
      </c>
    </row>
    <row r="90">
      <c r="A90" s="11" t="inlineStr">
        <is>
          <t>HOSP-0089</t>
        </is>
      </c>
      <c r="B90" s="61" t="n">
        <v>45689</v>
      </c>
      <c r="C90" s="11" t="inlineStr">
        <is>
          <t>Site 08</t>
        </is>
      </c>
      <c r="D90" s="11" t="inlineStr">
        <is>
          <t>Nephrology</t>
        </is>
      </c>
      <c r="E90" s="13" t="n">
        <v>65</v>
      </c>
      <c r="F90" s="13" t="n">
        <v>60</v>
      </c>
      <c r="G90" s="13" t="n">
        <v>473</v>
      </c>
      <c r="H90" s="13" t="n">
        <v>504</v>
      </c>
      <c r="I90" s="14" t="n">
        <v>7.88</v>
      </c>
      <c r="J90" s="62" t="n">
        <v>12.6</v>
      </c>
      <c r="K90" s="13" t="n">
        <v>52</v>
      </c>
      <c r="L90" s="13" t="n">
        <v>5</v>
      </c>
    </row>
    <row r="91">
      <c r="A91" s="11" t="inlineStr">
        <is>
          <t>HOSP-0090</t>
        </is>
      </c>
      <c r="B91" s="61" t="n">
        <v>45689</v>
      </c>
      <c r="C91" s="11" t="inlineStr">
        <is>
          <t>Site 08</t>
        </is>
      </c>
      <c r="D91" s="11" t="inlineStr">
        <is>
          <t>Paediatrics</t>
        </is>
      </c>
      <c r="E91" s="13" t="n">
        <v>99</v>
      </c>
      <c r="F91" s="13" t="n">
        <v>102</v>
      </c>
      <c r="G91" s="13" t="n">
        <v>292</v>
      </c>
      <c r="H91" s="13" t="n">
        <v>308</v>
      </c>
      <c r="I91" s="14" t="n">
        <v>2.86</v>
      </c>
      <c r="J91" s="62" t="n">
        <v>7.2</v>
      </c>
      <c r="K91" s="13" t="n">
        <v>96</v>
      </c>
      <c r="L91" s="13" t="n">
        <v>4</v>
      </c>
    </row>
    <row r="92">
      <c r="A92" s="11" t="inlineStr">
        <is>
          <t>HOSP-0091</t>
        </is>
      </c>
      <c r="B92" s="61" t="n">
        <v>45689</v>
      </c>
      <c r="C92" s="11" t="inlineStr">
        <is>
          <t>Site 09</t>
        </is>
      </c>
      <c r="D92" s="11" t="inlineStr">
        <is>
          <t>Cardiology</t>
        </is>
      </c>
      <c r="E92" s="13" t="n">
        <v>92</v>
      </c>
      <c r="F92" s="13" t="n">
        <v>96</v>
      </c>
      <c r="G92" s="13" t="n">
        <v>508</v>
      </c>
      <c r="H92" s="13" t="n">
        <v>616</v>
      </c>
      <c r="I92" s="14" t="n">
        <v>5.29</v>
      </c>
      <c r="J92" s="62" t="n">
        <v>12.3</v>
      </c>
      <c r="K92" s="13" t="n">
        <v>86</v>
      </c>
      <c r="L92" s="13" t="n">
        <v>9</v>
      </c>
    </row>
    <row r="93">
      <c r="A93" s="11" t="inlineStr">
        <is>
          <t>HOSP-0092</t>
        </is>
      </c>
      <c r="B93" s="61" t="n">
        <v>45689</v>
      </c>
      <c r="C93" s="11" t="inlineStr">
        <is>
          <t>Site 09</t>
        </is>
      </c>
      <c r="D93" s="11" t="inlineStr">
        <is>
          <t>Orthopaedics</t>
        </is>
      </c>
      <c r="E93" s="13" t="n">
        <v>71</v>
      </c>
      <c r="F93" s="13" t="n">
        <v>77</v>
      </c>
      <c r="G93" s="13" t="n">
        <v>491</v>
      </c>
      <c r="H93" s="13" t="n">
        <v>532</v>
      </c>
      <c r="I93" s="14" t="n">
        <v>6.38</v>
      </c>
      <c r="J93" s="62" t="n">
        <v>16.6</v>
      </c>
      <c r="K93" s="13" t="n">
        <v>67</v>
      </c>
      <c r="L93" s="13" t="n">
        <v>7</v>
      </c>
    </row>
    <row r="94">
      <c r="A94" s="11" t="inlineStr">
        <is>
          <t>HOSP-0093</t>
        </is>
      </c>
      <c r="B94" s="61" t="n">
        <v>45689</v>
      </c>
      <c r="C94" s="11" t="inlineStr">
        <is>
          <t>Site 09</t>
        </is>
      </c>
      <c r="D94" s="11" t="inlineStr">
        <is>
          <t>General Medicine</t>
        </is>
      </c>
      <c r="E94" s="13" t="n">
        <v>136</v>
      </c>
      <c r="F94" s="13" t="n">
        <v>142</v>
      </c>
      <c r="G94" s="13" t="n">
        <v>530</v>
      </c>
      <c r="H94" s="13" t="n">
        <v>672</v>
      </c>
      <c r="I94" s="14" t="n">
        <v>3.73</v>
      </c>
      <c r="J94" s="62" t="n">
        <v>8.6</v>
      </c>
      <c r="K94" s="13" t="n">
        <v>128</v>
      </c>
      <c r="L94" s="13" t="n">
        <v>9</v>
      </c>
    </row>
    <row r="95">
      <c r="A95" s="11" t="inlineStr">
        <is>
          <t>HOSP-0094</t>
        </is>
      </c>
      <c r="B95" s="61" t="n">
        <v>45689</v>
      </c>
      <c r="C95" s="11" t="inlineStr">
        <is>
          <t>Site 09</t>
        </is>
      </c>
      <c r="D95" s="11" t="inlineStr">
        <is>
          <t>Nephrology</t>
        </is>
      </c>
      <c r="E95" s="13" t="n">
        <v>43</v>
      </c>
      <c r="F95" s="13" t="n">
        <v>37</v>
      </c>
      <c r="G95" s="13" t="n">
        <v>283</v>
      </c>
      <c r="H95" s="13" t="n">
        <v>504</v>
      </c>
      <c r="I95" s="14" t="n">
        <v>7.65</v>
      </c>
      <c r="J95" s="62" t="n">
        <v>10</v>
      </c>
      <c r="K95" s="13" t="n">
        <v>34</v>
      </c>
      <c r="L95" s="13" t="n">
        <v>3</v>
      </c>
    </row>
    <row r="96">
      <c r="A96" s="11" t="inlineStr">
        <is>
          <t>HOSP-0095</t>
        </is>
      </c>
      <c r="B96" s="61" t="n">
        <v>45689</v>
      </c>
      <c r="C96" s="11" t="inlineStr">
        <is>
          <t>Site 09</t>
        </is>
      </c>
      <c r="D96" s="11" t="inlineStr">
        <is>
          <t>Paediatrics</t>
        </is>
      </c>
      <c r="E96" s="13" t="n">
        <v>78</v>
      </c>
      <c r="F96" s="13" t="n">
        <v>77</v>
      </c>
      <c r="G96" s="13" t="n">
        <v>244</v>
      </c>
      <c r="H96" s="13" t="n">
        <v>308</v>
      </c>
      <c r="I96" s="14" t="n">
        <v>3.17</v>
      </c>
      <c r="J96" s="62" t="n">
        <v>6.7</v>
      </c>
      <c r="K96" s="13" t="n">
        <v>68</v>
      </c>
      <c r="L96" s="13" t="n">
        <v>4</v>
      </c>
    </row>
    <row r="97">
      <c r="A97" s="11" t="inlineStr">
        <is>
          <t>HOSP-0096</t>
        </is>
      </c>
      <c r="B97" s="61" t="n">
        <v>45689</v>
      </c>
      <c r="C97" s="11" t="inlineStr">
        <is>
          <t>Site 10</t>
        </is>
      </c>
      <c r="D97" s="11" t="inlineStr">
        <is>
          <t>Cardiology</t>
        </is>
      </c>
      <c r="E97" s="13" t="n">
        <v>114</v>
      </c>
      <c r="F97" s="13" t="n">
        <v>116</v>
      </c>
      <c r="G97" s="13" t="n">
        <v>593</v>
      </c>
      <c r="H97" s="13" t="n">
        <v>616</v>
      </c>
      <c r="I97" s="14" t="n">
        <v>5.11</v>
      </c>
      <c r="J97" s="62" t="n">
        <v>10.9</v>
      </c>
      <c r="K97" s="13" t="n">
        <v>108</v>
      </c>
      <c r="L97" s="13" t="n">
        <v>9</v>
      </c>
    </row>
    <row r="98">
      <c r="A98" s="11" t="inlineStr">
        <is>
          <t>HOSP-0097</t>
        </is>
      </c>
      <c r="B98" s="61" t="n">
        <v>45689</v>
      </c>
      <c r="C98" s="11" t="inlineStr">
        <is>
          <t>Site 10</t>
        </is>
      </c>
      <c r="D98" s="11" t="inlineStr">
        <is>
          <t>Orthopaedics</t>
        </is>
      </c>
      <c r="E98" s="13" t="n">
        <v>76</v>
      </c>
      <c r="F98" s="13" t="n">
        <v>73</v>
      </c>
      <c r="G98" s="13" t="n">
        <v>430</v>
      </c>
      <c r="H98" s="13" t="n">
        <v>532</v>
      </c>
      <c r="I98" s="14" t="n">
        <v>5.89</v>
      </c>
      <c r="J98" s="62" t="n">
        <v>11.9</v>
      </c>
      <c r="K98" s="13" t="n">
        <v>66</v>
      </c>
      <c r="L98" s="13" t="n">
        <v>8</v>
      </c>
    </row>
    <row r="99">
      <c r="A99" s="11" t="inlineStr">
        <is>
          <t>HOSP-0098</t>
        </is>
      </c>
      <c r="B99" s="61" t="n">
        <v>45689</v>
      </c>
      <c r="C99" s="11" t="inlineStr">
        <is>
          <t>Site 10</t>
        </is>
      </c>
      <c r="D99" s="11" t="inlineStr">
        <is>
          <t>General Medicine</t>
        </is>
      </c>
      <c r="E99" s="13" t="n">
        <v>146</v>
      </c>
      <c r="F99" s="13" t="n">
        <v>147</v>
      </c>
      <c r="G99" s="13" t="n">
        <v>603</v>
      </c>
      <c r="H99" s="13" t="n">
        <v>672</v>
      </c>
      <c r="I99" s="14" t="n">
        <v>4.1</v>
      </c>
      <c r="J99" s="62" t="n">
        <v>8.300000000000001</v>
      </c>
      <c r="K99" s="13" t="n">
        <v>134</v>
      </c>
      <c r="L99" s="13" t="n">
        <v>7</v>
      </c>
    </row>
    <row r="100">
      <c r="A100" s="11" t="inlineStr">
        <is>
          <t>HOSP-0099</t>
        </is>
      </c>
      <c r="B100" s="61" t="n">
        <v>45689</v>
      </c>
      <c r="C100" s="11" t="inlineStr">
        <is>
          <t>Site 10</t>
        </is>
      </c>
      <c r="D100" s="11" t="inlineStr">
        <is>
          <t>Nephrology</t>
        </is>
      </c>
      <c r="E100" s="13" t="n">
        <v>60</v>
      </c>
      <c r="F100" s="13" t="n">
        <v>58</v>
      </c>
      <c r="G100" s="13" t="n">
        <v>462</v>
      </c>
      <c r="H100" s="13" t="n">
        <v>504</v>
      </c>
      <c r="I100" s="14" t="n">
        <v>7.97</v>
      </c>
      <c r="J100" s="62" t="n">
        <v>11.5</v>
      </c>
      <c r="K100" s="13" t="n">
        <v>52</v>
      </c>
      <c r="L100" s="13" t="n">
        <v>5</v>
      </c>
    </row>
    <row r="101">
      <c r="A101" s="11" t="inlineStr">
        <is>
          <t>HOSP-0100</t>
        </is>
      </c>
      <c r="B101" s="61" t="n">
        <v>45689</v>
      </c>
      <c r="C101" s="11" t="inlineStr">
        <is>
          <t>Site 10</t>
        </is>
      </c>
      <c r="D101" s="11" t="inlineStr">
        <is>
          <t>Paediatrics</t>
        </is>
      </c>
      <c r="E101" s="13" t="n">
        <v>79</v>
      </c>
      <c r="F101" s="13" t="n">
        <v>75</v>
      </c>
      <c r="G101" s="13" t="n">
        <v>238</v>
      </c>
      <c r="H101" s="13" t="n">
        <v>308</v>
      </c>
      <c r="I101" s="14" t="n">
        <v>3.17</v>
      </c>
      <c r="J101" s="62" t="n">
        <v>6.7</v>
      </c>
      <c r="K101" s="13" t="n">
        <v>69</v>
      </c>
      <c r="L101" s="13" t="n">
        <v>4</v>
      </c>
    </row>
    <row r="102">
      <c r="A102" s="11" t="inlineStr">
        <is>
          <t>HOSP-0101</t>
        </is>
      </c>
      <c r="B102" s="61" t="n">
        <v>45717</v>
      </c>
      <c r="C102" s="11" t="inlineStr">
        <is>
          <t>Site 01</t>
        </is>
      </c>
      <c r="D102" s="11" t="inlineStr">
        <is>
          <t>Cardiology</t>
        </is>
      </c>
      <c r="E102" s="13" t="n">
        <v>102</v>
      </c>
      <c r="F102" s="13" t="n">
        <v>106</v>
      </c>
      <c r="G102" s="13" t="n">
        <v>592</v>
      </c>
      <c r="H102" s="13" t="n">
        <v>682</v>
      </c>
      <c r="I102" s="14" t="n">
        <v>5.58</v>
      </c>
      <c r="J102" s="62" t="n">
        <v>10.2</v>
      </c>
      <c r="K102" s="13" t="n">
        <v>99</v>
      </c>
      <c r="L102" s="13" t="n">
        <v>4</v>
      </c>
    </row>
    <row r="103">
      <c r="A103" s="11" t="inlineStr">
        <is>
          <t>HOSP-0102</t>
        </is>
      </c>
      <c r="B103" s="61" t="n">
        <v>45717</v>
      </c>
      <c r="C103" s="11" t="inlineStr">
        <is>
          <t>Site 01</t>
        </is>
      </c>
      <c r="D103" s="11" t="inlineStr">
        <is>
          <t>Orthopaedics</t>
        </is>
      </c>
      <c r="E103" s="13" t="n">
        <v>75</v>
      </c>
      <c r="F103" s="13" t="n">
        <v>77</v>
      </c>
      <c r="G103" s="13" t="n">
        <v>461</v>
      </c>
      <c r="H103" s="13" t="n">
        <v>589</v>
      </c>
      <c r="I103" s="14" t="n">
        <v>5.99</v>
      </c>
      <c r="J103" s="62" t="n">
        <v>12.2</v>
      </c>
      <c r="K103" s="13" t="n">
        <v>67</v>
      </c>
      <c r="L103" s="13" t="n">
        <v>10</v>
      </c>
    </row>
    <row r="104">
      <c r="A104" s="11" t="inlineStr">
        <is>
          <t>HOSP-0103</t>
        </is>
      </c>
      <c r="B104" s="61" t="n">
        <v>45717</v>
      </c>
      <c r="C104" s="11" t="inlineStr">
        <is>
          <t>Site 01</t>
        </is>
      </c>
      <c r="D104" s="11" t="inlineStr">
        <is>
          <t>General Medicine</t>
        </is>
      </c>
      <c r="E104" s="13" t="n">
        <v>149</v>
      </c>
      <c r="F104" s="13" t="n">
        <v>151</v>
      </c>
      <c r="G104" s="13" t="n">
        <v>613</v>
      </c>
      <c r="H104" s="13" t="n">
        <v>744</v>
      </c>
      <c r="I104" s="14" t="n">
        <v>4.06</v>
      </c>
      <c r="J104" s="62" t="n">
        <v>9.5</v>
      </c>
      <c r="K104" s="13" t="n">
        <v>142</v>
      </c>
      <c r="L104" s="13" t="n">
        <v>9</v>
      </c>
    </row>
    <row r="105">
      <c r="A105" s="11" t="inlineStr">
        <is>
          <t>HOSP-0104</t>
        </is>
      </c>
      <c r="B105" s="61" t="n">
        <v>45717</v>
      </c>
      <c r="C105" s="11" t="inlineStr">
        <is>
          <t>Site 01</t>
        </is>
      </c>
      <c r="D105" s="11" t="inlineStr">
        <is>
          <t>Nephrology</t>
        </is>
      </c>
      <c r="E105" s="13" t="n">
        <v>67</v>
      </c>
      <c r="F105" s="13" t="n">
        <v>68</v>
      </c>
      <c r="G105" s="13" t="n">
        <v>478</v>
      </c>
      <c r="H105" s="13" t="n">
        <v>558</v>
      </c>
      <c r="I105" s="14" t="n">
        <v>7.03</v>
      </c>
      <c r="J105" s="62" t="n">
        <v>10.6</v>
      </c>
      <c r="K105" s="13" t="n">
        <v>63</v>
      </c>
      <c r="L105" s="13" t="n">
        <v>5</v>
      </c>
    </row>
    <row r="106">
      <c r="A106" s="11" t="inlineStr">
        <is>
          <t>HOSP-0105</t>
        </is>
      </c>
      <c r="B106" s="61" t="n">
        <v>45717</v>
      </c>
      <c r="C106" s="11" t="inlineStr">
        <is>
          <t>Site 01</t>
        </is>
      </c>
      <c r="D106" s="11" t="inlineStr">
        <is>
          <t>Paediatrics</t>
        </is>
      </c>
      <c r="E106" s="13" t="n">
        <v>97</v>
      </c>
      <c r="F106" s="13" t="n">
        <v>102</v>
      </c>
      <c r="G106" s="13" t="n">
        <v>283</v>
      </c>
      <c r="H106" s="13" t="n">
        <v>341</v>
      </c>
      <c r="I106" s="14" t="n">
        <v>2.77</v>
      </c>
      <c r="J106" s="62" t="n">
        <v>6.9</v>
      </c>
      <c r="K106" s="13" t="n">
        <v>94</v>
      </c>
      <c r="L106" s="13" t="n">
        <v>6</v>
      </c>
    </row>
    <row r="107">
      <c r="A107" s="11" t="inlineStr">
        <is>
          <t>HOSP-0106</t>
        </is>
      </c>
      <c r="B107" s="61" t="n">
        <v>45717</v>
      </c>
      <c r="C107" s="11" t="inlineStr">
        <is>
          <t>Site 02</t>
        </is>
      </c>
      <c r="D107" s="11" t="inlineStr">
        <is>
          <t>Cardiology</t>
        </is>
      </c>
      <c r="E107" s="13" t="n">
        <v>99</v>
      </c>
      <c r="F107" s="13" t="n">
        <v>99</v>
      </c>
      <c r="G107" s="13" t="n">
        <v>495</v>
      </c>
      <c r="H107" s="13" t="n">
        <v>682</v>
      </c>
      <c r="I107" s="14" t="n">
        <v>5</v>
      </c>
      <c r="J107" s="62" t="n">
        <v>11.2</v>
      </c>
      <c r="K107" s="13" t="n">
        <v>92</v>
      </c>
      <c r="L107" s="13" t="n">
        <v>8</v>
      </c>
    </row>
    <row r="108">
      <c r="A108" s="11" t="inlineStr">
        <is>
          <t>HOSP-0107</t>
        </is>
      </c>
      <c r="B108" s="61" t="n">
        <v>45717</v>
      </c>
      <c r="C108" s="11" t="inlineStr">
        <is>
          <t>Site 02</t>
        </is>
      </c>
      <c r="D108" s="11" t="inlineStr">
        <is>
          <t>Orthopaedics</t>
        </is>
      </c>
      <c r="E108" s="13" t="n">
        <v>65</v>
      </c>
      <c r="F108" s="13" t="n">
        <v>71</v>
      </c>
      <c r="G108" s="13" t="n">
        <v>406</v>
      </c>
      <c r="H108" s="13" t="n">
        <v>589</v>
      </c>
      <c r="I108" s="14" t="n">
        <v>5.72</v>
      </c>
      <c r="J108" s="62" t="n">
        <v>14.4</v>
      </c>
      <c r="K108" s="13" t="n">
        <v>65</v>
      </c>
      <c r="L108" s="13" t="n">
        <v>9</v>
      </c>
    </row>
    <row r="109">
      <c r="A109" s="11" t="inlineStr">
        <is>
          <t>HOSP-0108</t>
        </is>
      </c>
      <c r="B109" s="61" t="n">
        <v>45717</v>
      </c>
      <c r="C109" s="11" t="inlineStr">
        <is>
          <t>Site 02</t>
        </is>
      </c>
      <c r="D109" s="11" t="inlineStr">
        <is>
          <t>General Medicine</t>
        </is>
      </c>
      <c r="E109" s="13" t="n">
        <v>139</v>
      </c>
      <c r="F109" s="13" t="n">
        <v>133</v>
      </c>
      <c r="G109" s="13" t="n">
        <v>491</v>
      </c>
      <c r="H109" s="13" t="n">
        <v>744</v>
      </c>
      <c r="I109" s="14" t="n">
        <v>3.69</v>
      </c>
      <c r="J109" s="62" t="n">
        <v>8.699999999999999</v>
      </c>
      <c r="K109" s="13" t="n">
        <v>115</v>
      </c>
      <c r="L109" s="13" t="n">
        <v>6</v>
      </c>
    </row>
    <row r="110">
      <c r="A110" s="11" t="inlineStr">
        <is>
          <t>HOSP-0109</t>
        </is>
      </c>
      <c r="B110" s="61" t="n">
        <v>45717</v>
      </c>
      <c r="C110" s="11" t="inlineStr">
        <is>
          <t>Site 02</t>
        </is>
      </c>
      <c r="D110" s="11" t="inlineStr">
        <is>
          <t>Nephrology</t>
        </is>
      </c>
      <c r="E110" s="13" t="n">
        <v>59</v>
      </c>
      <c r="F110" s="13" t="n">
        <v>56</v>
      </c>
      <c r="G110" s="13" t="n">
        <v>438</v>
      </c>
      <c r="H110" s="13" t="n">
        <v>558</v>
      </c>
      <c r="I110" s="14" t="n">
        <v>7.82</v>
      </c>
      <c r="J110" s="62" t="n">
        <v>12.9</v>
      </c>
      <c r="K110" s="13" t="n">
        <v>51</v>
      </c>
      <c r="L110" s="13" t="n">
        <v>5</v>
      </c>
    </row>
    <row r="111">
      <c r="A111" s="11" t="inlineStr">
        <is>
          <t>HOSP-0110</t>
        </is>
      </c>
      <c r="B111" s="61" t="n">
        <v>45717</v>
      </c>
      <c r="C111" s="11" t="inlineStr">
        <is>
          <t>Site 02</t>
        </is>
      </c>
      <c r="D111" s="11" t="inlineStr">
        <is>
          <t>Paediatrics</t>
        </is>
      </c>
      <c r="E111" s="13" t="n">
        <v>80</v>
      </c>
      <c r="F111" s="13" t="n">
        <v>85</v>
      </c>
      <c r="G111" s="13" t="n">
        <v>257</v>
      </c>
      <c r="H111" s="13" t="n">
        <v>341</v>
      </c>
      <c r="I111" s="14" t="n">
        <v>3.02</v>
      </c>
      <c r="J111" s="62" t="n">
        <v>7.6</v>
      </c>
      <c r="K111" s="13" t="n">
        <v>75</v>
      </c>
      <c r="L111" s="13" t="n">
        <v>2</v>
      </c>
    </row>
    <row r="112">
      <c r="A112" s="11" t="inlineStr">
        <is>
          <t>HOSP-0111</t>
        </is>
      </c>
      <c r="B112" s="61" t="n">
        <v>45717</v>
      </c>
      <c r="C112" s="11" t="inlineStr">
        <is>
          <t>Site 03</t>
        </is>
      </c>
      <c r="D112" s="11" t="inlineStr">
        <is>
          <t>Cardiology</t>
        </is>
      </c>
      <c r="E112" s="13" t="n">
        <v>129</v>
      </c>
      <c r="F112" s="13" t="n">
        <v>133</v>
      </c>
      <c r="G112" s="13" t="n">
        <v>675</v>
      </c>
      <c r="H112" s="13" t="n">
        <v>682</v>
      </c>
      <c r="I112" s="14" t="n">
        <v>5.08</v>
      </c>
      <c r="J112" s="62" t="n">
        <v>8.1</v>
      </c>
      <c r="K112" s="13" t="n">
        <v>119</v>
      </c>
      <c r="L112" s="13" t="n">
        <v>9</v>
      </c>
    </row>
    <row r="113">
      <c r="A113" s="11" t="inlineStr">
        <is>
          <t>HOSP-0112</t>
        </is>
      </c>
      <c r="B113" s="61" t="n">
        <v>45717</v>
      </c>
      <c r="C113" s="11" t="inlineStr">
        <is>
          <t>Site 03</t>
        </is>
      </c>
      <c r="D113" s="11" t="inlineStr">
        <is>
          <t>Orthopaedics</t>
        </is>
      </c>
      <c r="E113" s="13" t="n">
        <v>82</v>
      </c>
      <c r="F113" s="13" t="n">
        <v>87</v>
      </c>
      <c r="G113" s="13" t="n">
        <v>495</v>
      </c>
      <c r="H113" s="13" t="n">
        <v>589</v>
      </c>
      <c r="I113" s="14" t="n">
        <v>5.69</v>
      </c>
      <c r="J113" s="62" t="n">
        <v>15</v>
      </c>
      <c r="K113" s="13" t="n">
        <v>77</v>
      </c>
      <c r="L113" s="13" t="n">
        <v>7</v>
      </c>
    </row>
    <row r="114">
      <c r="A114" s="11" t="inlineStr">
        <is>
          <t>HOSP-0113</t>
        </is>
      </c>
      <c r="B114" s="61" t="n">
        <v>45717</v>
      </c>
      <c r="C114" s="11" t="inlineStr">
        <is>
          <t>Site 03</t>
        </is>
      </c>
      <c r="D114" s="11" t="inlineStr">
        <is>
          <t>General Medicine</t>
        </is>
      </c>
      <c r="E114" s="13" t="n">
        <v>174</v>
      </c>
      <c r="F114" s="13" t="n">
        <v>174</v>
      </c>
      <c r="G114" s="13" t="n">
        <v>703</v>
      </c>
      <c r="H114" s="13" t="n">
        <v>744</v>
      </c>
      <c r="I114" s="14" t="n">
        <v>4.04</v>
      </c>
      <c r="J114" s="62" t="n">
        <v>7.7</v>
      </c>
      <c r="K114" s="13" t="n">
        <v>152</v>
      </c>
      <c r="L114" s="13" t="n">
        <v>10</v>
      </c>
    </row>
    <row r="115">
      <c r="A115" s="11" t="inlineStr">
        <is>
          <t>HOSP-0114</t>
        </is>
      </c>
      <c r="B115" s="61" t="n">
        <v>45717</v>
      </c>
      <c r="C115" s="11" t="inlineStr">
        <is>
          <t>Site 03</t>
        </is>
      </c>
      <c r="D115" s="11" t="inlineStr">
        <is>
          <t>Nephrology</t>
        </is>
      </c>
      <c r="E115" s="13" t="n">
        <v>54</v>
      </c>
      <c r="F115" s="13" t="n">
        <v>60</v>
      </c>
      <c r="G115" s="13" t="n">
        <v>473</v>
      </c>
      <c r="H115" s="13" t="n">
        <v>558</v>
      </c>
      <c r="I115" s="14" t="n">
        <v>7.88</v>
      </c>
      <c r="J115" s="62" t="n">
        <v>11.9</v>
      </c>
      <c r="K115" s="13" t="n">
        <v>54</v>
      </c>
      <c r="L115" s="13" t="n">
        <v>5</v>
      </c>
    </row>
    <row r="116">
      <c r="A116" s="11" t="inlineStr">
        <is>
          <t>HOSP-0115</t>
        </is>
      </c>
      <c r="B116" s="61" t="n">
        <v>45717</v>
      </c>
      <c r="C116" s="11" t="inlineStr">
        <is>
          <t>Site 03</t>
        </is>
      </c>
      <c r="D116" s="11" t="inlineStr">
        <is>
          <t>Paediatrics</t>
        </is>
      </c>
      <c r="E116" s="13" t="n">
        <v>105</v>
      </c>
      <c r="F116" s="13" t="n">
        <v>100</v>
      </c>
      <c r="G116" s="13" t="n">
        <v>321</v>
      </c>
      <c r="H116" s="13" t="n">
        <v>341</v>
      </c>
      <c r="I116" s="14" t="n">
        <v>3.21</v>
      </c>
      <c r="J116" s="62" t="n">
        <v>6.7</v>
      </c>
      <c r="K116" s="13" t="n">
        <v>90</v>
      </c>
      <c r="L116" s="13" t="n">
        <v>5</v>
      </c>
    </row>
    <row r="117">
      <c r="A117" s="11" t="inlineStr">
        <is>
          <t>HOSP-0116</t>
        </is>
      </c>
      <c r="B117" s="61" t="n">
        <v>45717</v>
      </c>
      <c r="C117" s="11" t="inlineStr">
        <is>
          <t>Site 04</t>
        </is>
      </c>
      <c r="D117" s="11" t="inlineStr">
        <is>
          <t>Cardiology</t>
        </is>
      </c>
      <c r="E117" s="13" t="n">
        <v>121</v>
      </c>
      <c r="F117" s="13" t="n">
        <v>115</v>
      </c>
      <c r="G117" s="13" t="n">
        <v>586</v>
      </c>
      <c r="H117" s="13" t="n">
        <v>682</v>
      </c>
      <c r="I117" s="14" t="n">
        <v>5.1</v>
      </c>
      <c r="J117" s="62" t="n">
        <v>8.4</v>
      </c>
      <c r="K117" s="13" t="n">
        <v>106</v>
      </c>
      <c r="L117" s="13" t="n">
        <v>7</v>
      </c>
    </row>
    <row r="118">
      <c r="A118" s="11" t="inlineStr">
        <is>
          <t>HOSP-0117</t>
        </is>
      </c>
      <c r="B118" s="61" t="n">
        <v>45717</v>
      </c>
      <c r="C118" s="11" t="inlineStr">
        <is>
          <t>Site 04</t>
        </is>
      </c>
      <c r="D118" s="11" t="inlineStr">
        <is>
          <t>Orthopaedics</t>
        </is>
      </c>
      <c r="E118" s="13" t="n">
        <v>78</v>
      </c>
      <c r="F118" s="13" t="n">
        <v>76</v>
      </c>
      <c r="G118" s="13" t="n">
        <v>416</v>
      </c>
      <c r="H118" s="13" t="n">
        <v>589</v>
      </c>
      <c r="I118" s="14" t="n">
        <v>5.47</v>
      </c>
      <c r="J118" s="62" t="n">
        <v>11.3</v>
      </c>
      <c r="K118" s="13" t="n">
        <v>71</v>
      </c>
      <c r="L118" s="13" t="n">
        <v>8</v>
      </c>
    </row>
    <row r="119">
      <c r="A119" s="11" t="inlineStr">
        <is>
          <t>HOSP-0118</t>
        </is>
      </c>
      <c r="B119" s="61" t="n">
        <v>45717</v>
      </c>
      <c r="C119" s="11" t="inlineStr">
        <is>
          <t>Site 04</t>
        </is>
      </c>
      <c r="D119" s="11" t="inlineStr">
        <is>
          <t>General Medicine</t>
        </is>
      </c>
      <c r="E119" s="13" t="n">
        <v>130</v>
      </c>
      <c r="F119" s="13" t="n">
        <v>135</v>
      </c>
      <c r="G119" s="13" t="n">
        <v>565</v>
      </c>
      <c r="H119" s="13" t="n">
        <v>744</v>
      </c>
      <c r="I119" s="14" t="n">
        <v>4.19</v>
      </c>
      <c r="J119" s="62" t="n">
        <v>8.300000000000001</v>
      </c>
      <c r="K119" s="13" t="n">
        <v>119</v>
      </c>
      <c r="L119" s="13" t="n">
        <v>5</v>
      </c>
    </row>
    <row r="120">
      <c r="A120" s="11" t="inlineStr">
        <is>
          <t>HOSP-0119</t>
        </is>
      </c>
      <c r="B120" s="61" t="n">
        <v>45717</v>
      </c>
      <c r="C120" s="11" t="inlineStr">
        <is>
          <t>Site 04</t>
        </is>
      </c>
      <c r="D120" s="11" t="inlineStr">
        <is>
          <t>Nephrology</t>
        </is>
      </c>
      <c r="E120" s="13" t="n">
        <v>62</v>
      </c>
      <c r="F120" s="13" t="n">
        <v>58</v>
      </c>
      <c r="G120" s="13" t="n">
        <v>493</v>
      </c>
      <c r="H120" s="13" t="n">
        <v>558</v>
      </c>
      <c r="I120" s="14" t="n">
        <v>8.5</v>
      </c>
      <c r="J120" s="62" t="n">
        <v>13.1</v>
      </c>
      <c r="K120" s="13" t="n">
        <v>54</v>
      </c>
      <c r="L120" s="13" t="n">
        <v>5</v>
      </c>
    </row>
    <row r="121">
      <c r="A121" s="11" t="inlineStr">
        <is>
          <t>HOSP-0120</t>
        </is>
      </c>
      <c r="B121" s="61" t="n">
        <v>45717</v>
      </c>
      <c r="C121" s="11" t="inlineStr">
        <is>
          <t>Site 04</t>
        </is>
      </c>
      <c r="D121" s="11" t="inlineStr">
        <is>
          <t>Paediatrics</t>
        </is>
      </c>
      <c r="E121" s="13" t="n">
        <v>95</v>
      </c>
      <c r="F121" s="13" t="n">
        <v>91</v>
      </c>
      <c r="G121" s="13" t="n">
        <v>293</v>
      </c>
      <c r="H121" s="13" t="n">
        <v>341</v>
      </c>
      <c r="I121" s="14" t="n">
        <v>3.22</v>
      </c>
      <c r="J121" s="62" t="n">
        <v>7.5</v>
      </c>
      <c r="K121" s="13" t="n">
        <v>83</v>
      </c>
      <c r="L121" s="13" t="n">
        <v>4</v>
      </c>
    </row>
    <row r="122">
      <c r="A122" s="11" t="inlineStr">
        <is>
          <t>HOSP-0121</t>
        </is>
      </c>
      <c r="B122" s="61" t="n">
        <v>45717</v>
      </c>
      <c r="C122" s="11" t="inlineStr">
        <is>
          <t>Site 05</t>
        </is>
      </c>
      <c r="D122" s="11" t="inlineStr">
        <is>
          <t>Cardiology</t>
        </is>
      </c>
      <c r="E122" s="13" t="n">
        <v>89</v>
      </c>
      <c r="F122" s="13" t="n">
        <v>85</v>
      </c>
      <c r="G122" s="13" t="n">
        <v>482</v>
      </c>
      <c r="H122" s="13" t="n">
        <v>682</v>
      </c>
      <c r="I122" s="14" t="n">
        <v>5.67</v>
      </c>
      <c r="J122" s="62" t="n">
        <v>9.9</v>
      </c>
      <c r="K122" s="13" t="n">
        <v>80</v>
      </c>
      <c r="L122" s="13" t="n">
        <v>7</v>
      </c>
    </row>
    <row r="123">
      <c r="A123" s="11" t="inlineStr">
        <is>
          <t>HOSP-0122</t>
        </is>
      </c>
      <c r="B123" s="61" t="n">
        <v>45717</v>
      </c>
      <c r="C123" s="11" t="inlineStr">
        <is>
          <t>Site 05</t>
        </is>
      </c>
      <c r="D123" s="11" t="inlineStr">
        <is>
          <t>Orthopaedics</t>
        </is>
      </c>
      <c r="E123" s="13" t="n">
        <v>65</v>
      </c>
      <c r="F123" s="13" t="n">
        <v>66</v>
      </c>
      <c r="G123" s="13" t="n">
        <v>426</v>
      </c>
      <c r="H123" s="13" t="n">
        <v>589</v>
      </c>
      <c r="I123" s="14" t="n">
        <v>6.45</v>
      </c>
      <c r="J123" s="62" t="n">
        <v>10.2</v>
      </c>
      <c r="K123" s="13" t="n">
        <v>57</v>
      </c>
      <c r="L123" s="13" t="n">
        <v>6</v>
      </c>
    </row>
    <row r="124">
      <c r="A124" s="11" t="inlineStr">
        <is>
          <t>HOSP-0123</t>
        </is>
      </c>
      <c r="B124" s="61" t="n">
        <v>45717</v>
      </c>
      <c r="C124" s="11" t="inlineStr">
        <is>
          <t>Site 05</t>
        </is>
      </c>
      <c r="D124" s="11" t="inlineStr">
        <is>
          <t>General Medicine</t>
        </is>
      </c>
      <c r="E124" s="13" t="n">
        <v>110</v>
      </c>
      <c r="F124" s="13" t="n">
        <v>111</v>
      </c>
      <c r="G124" s="13" t="n">
        <v>420</v>
      </c>
      <c r="H124" s="13" t="n">
        <v>744</v>
      </c>
      <c r="I124" s="14" t="n">
        <v>3.78</v>
      </c>
      <c r="J124" s="62" t="n">
        <v>7.8</v>
      </c>
      <c r="K124" s="13" t="n">
        <v>98</v>
      </c>
      <c r="L124" s="13" t="n">
        <v>6</v>
      </c>
    </row>
    <row r="125">
      <c r="A125" s="11" t="inlineStr">
        <is>
          <t>HOSP-0124</t>
        </is>
      </c>
      <c r="B125" s="61" t="n">
        <v>45717</v>
      </c>
      <c r="C125" s="11" t="inlineStr">
        <is>
          <t>Site 05</t>
        </is>
      </c>
      <c r="D125" s="11" t="inlineStr">
        <is>
          <t>Nephrology</t>
        </is>
      </c>
      <c r="E125" s="13" t="n">
        <v>45</v>
      </c>
      <c r="F125" s="13" t="n">
        <v>39</v>
      </c>
      <c r="G125" s="13" t="n">
        <v>303</v>
      </c>
      <c r="H125" s="13" t="n">
        <v>558</v>
      </c>
      <c r="I125" s="14" t="n">
        <v>7.77</v>
      </c>
      <c r="J125" s="62" t="n">
        <v>14.1</v>
      </c>
      <c r="K125" s="13" t="n">
        <v>36</v>
      </c>
      <c r="L125" s="13" t="n">
        <v>3</v>
      </c>
    </row>
    <row r="126">
      <c r="A126" s="11" t="inlineStr">
        <is>
          <t>HOSP-0125</t>
        </is>
      </c>
      <c r="B126" s="61" t="n">
        <v>45717</v>
      </c>
      <c r="C126" s="11" t="inlineStr">
        <is>
          <t>Site 05</t>
        </is>
      </c>
      <c r="D126" s="11" t="inlineStr">
        <is>
          <t>Paediatrics</t>
        </is>
      </c>
      <c r="E126" s="13" t="n">
        <v>78</v>
      </c>
      <c r="F126" s="13" t="n">
        <v>78</v>
      </c>
      <c r="G126" s="13" t="n">
        <v>251</v>
      </c>
      <c r="H126" s="13" t="n">
        <v>341</v>
      </c>
      <c r="I126" s="14" t="n">
        <v>3.22</v>
      </c>
      <c r="J126" s="62" t="n">
        <v>6.5</v>
      </c>
      <c r="K126" s="13" t="n">
        <v>68</v>
      </c>
      <c r="L126" s="13" t="n">
        <v>3</v>
      </c>
    </row>
    <row r="127">
      <c r="A127" s="11" t="inlineStr">
        <is>
          <t>HOSP-0126</t>
        </is>
      </c>
      <c r="B127" s="61" t="n">
        <v>45717</v>
      </c>
      <c r="C127" s="11" t="inlineStr">
        <is>
          <t>Site 06</t>
        </is>
      </c>
      <c r="D127" s="11" t="inlineStr">
        <is>
          <t>Cardiology</t>
        </is>
      </c>
      <c r="E127" s="13" t="n">
        <v>120</v>
      </c>
      <c r="F127" s="13" t="n">
        <v>119</v>
      </c>
      <c r="G127" s="13" t="n">
        <v>611</v>
      </c>
      <c r="H127" s="13" t="n">
        <v>682</v>
      </c>
      <c r="I127" s="14" t="n">
        <v>5.13</v>
      </c>
      <c r="J127" s="62" t="n">
        <v>9</v>
      </c>
      <c r="K127" s="13" t="n">
        <v>106</v>
      </c>
      <c r="L127" s="13" t="n">
        <v>10</v>
      </c>
    </row>
    <row r="128">
      <c r="A128" s="11" t="inlineStr">
        <is>
          <t>HOSP-0127</t>
        </is>
      </c>
      <c r="B128" s="61" t="n">
        <v>45717</v>
      </c>
      <c r="C128" s="11" t="inlineStr">
        <is>
          <t>Site 06</t>
        </is>
      </c>
      <c r="D128" s="11" t="inlineStr">
        <is>
          <t>Orthopaedics</t>
        </is>
      </c>
      <c r="E128" s="13" t="n">
        <v>84</v>
      </c>
      <c r="F128" s="13" t="n">
        <v>84</v>
      </c>
      <c r="G128" s="13" t="n">
        <v>509</v>
      </c>
      <c r="H128" s="13" t="n">
        <v>589</v>
      </c>
      <c r="I128" s="14" t="n">
        <v>6.06</v>
      </c>
      <c r="J128" s="62" t="n">
        <v>15.9</v>
      </c>
      <c r="K128" s="13" t="n">
        <v>74</v>
      </c>
      <c r="L128" s="13" t="n">
        <v>7</v>
      </c>
    </row>
    <row r="129">
      <c r="A129" s="11" t="inlineStr">
        <is>
          <t>HOSP-0128</t>
        </is>
      </c>
      <c r="B129" s="61" t="n">
        <v>45717</v>
      </c>
      <c r="C129" s="11" t="inlineStr">
        <is>
          <t>Site 06</t>
        </is>
      </c>
      <c r="D129" s="11" t="inlineStr">
        <is>
          <t>General Medicine</t>
        </is>
      </c>
      <c r="E129" s="13" t="n">
        <v>160</v>
      </c>
      <c r="F129" s="13" t="n">
        <v>164</v>
      </c>
      <c r="G129" s="13" t="n">
        <v>714</v>
      </c>
      <c r="H129" s="13" t="n">
        <v>744</v>
      </c>
      <c r="I129" s="14" t="n">
        <v>4.35</v>
      </c>
      <c r="J129" s="62" t="n">
        <v>8.300000000000001</v>
      </c>
      <c r="K129" s="13" t="n">
        <v>153</v>
      </c>
      <c r="L129" s="13" t="n">
        <v>7</v>
      </c>
    </row>
    <row r="130">
      <c r="A130" s="11" t="inlineStr">
        <is>
          <t>HOSP-0129</t>
        </is>
      </c>
      <c r="B130" s="61" t="n">
        <v>45717</v>
      </c>
      <c r="C130" s="11" t="inlineStr">
        <is>
          <t>Site 06</t>
        </is>
      </c>
      <c r="D130" s="11" t="inlineStr">
        <is>
          <t>Nephrology</t>
        </is>
      </c>
      <c r="E130" s="13" t="n">
        <v>58</v>
      </c>
      <c r="F130" s="13" t="n">
        <v>63</v>
      </c>
      <c r="G130" s="13" t="n">
        <v>493</v>
      </c>
      <c r="H130" s="13" t="n">
        <v>558</v>
      </c>
      <c r="I130" s="14" t="n">
        <v>7.83</v>
      </c>
      <c r="J130" s="62" t="n">
        <v>13.3</v>
      </c>
      <c r="K130" s="13" t="n">
        <v>55</v>
      </c>
      <c r="L130" s="13" t="n">
        <v>5</v>
      </c>
    </row>
    <row r="131">
      <c r="A131" s="11" t="inlineStr">
        <is>
          <t>HOSP-0130</t>
        </is>
      </c>
      <c r="B131" s="61" t="n">
        <v>45717</v>
      </c>
      <c r="C131" s="11" t="inlineStr">
        <is>
          <t>Site 06</t>
        </is>
      </c>
      <c r="D131" s="11" t="inlineStr">
        <is>
          <t>Paediatrics</t>
        </is>
      </c>
      <c r="E131" s="13" t="n">
        <v>98</v>
      </c>
      <c r="F131" s="13" t="n">
        <v>101</v>
      </c>
      <c r="G131" s="13" t="n">
        <v>328</v>
      </c>
      <c r="H131" s="13" t="n">
        <v>341</v>
      </c>
      <c r="I131" s="14" t="n">
        <v>3.25</v>
      </c>
      <c r="J131" s="62" t="n">
        <v>7.1</v>
      </c>
      <c r="K131" s="13" t="n">
        <v>88</v>
      </c>
      <c r="L131" s="13" t="n">
        <v>3</v>
      </c>
    </row>
    <row r="132">
      <c r="A132" s="11" t="inlineStr">
        <is>
          <t>HOSP-0131</t>
        </is>
      </c>
      <c r="B132" s="61" t="n">
        <v>45717</v>
      </c>
      <c r="C132" s="11" t="inlineStr">
        <is>
          <t>Site 07</t>
        </is>
      </c>
      <c r="D132" s="11" t="inlineStr">
        <is>
          <t>Cardiology</t>
        </is>
      </c>
      <c r="E132" s="13" t="n">
        <v>121</v>
      </c>
      <c r="F132" s="13" t="n">
        <v>116</v>
      </c>
      <c r="G132" s="13" t="n">
        <v>566</v>
      </c>
      <c r="H132" s="13" t="n">
        <v>682</v>
      </c>
      <c r="I132" s="14" t="n">
        <v>4.88</v>
      </c>
      <c r="J132" s="62" t="n">
        <v>8.199999999999999</v>
      </c>
      <c r="K132" s="13" t="n">
        <v>100</v>
      </c>
      <c r="L132" s="13" t="n">
        <v>9</v>
      </c>
    </row>
    <row r="133">
      <c r="A133" s="11" t="inlineStr">
        <is>
          <t>HOSP-0132</t>
        </is>
      </c>
      <c r="B133" s="61" t="n">
        <v>45717</v>
      </c>
      <c r="C133" s="11" t="inlineStr">
        <is>
          <t>Site 07</t>
        </is>
      </c>
      <c r="D133" s="11" t="inlineStr">
        <is>
          <t>Orthopaedics</t>
        </is>
      </c>
      <c r="E133" s="13" t="n">
        <v>91</v>
      </c>
      <c r="F133" s="13" t="n">
        <v>92</v>
      </c>
      <c r="G133" s="13" t="n">
        <v>579</v>
      </c>
      <c r="H133" s="13" t="n">
        <v>589</v>
      </c>
      <c r="I133" s="14" t="n">
        <v>6.29</v>
      </c>
      <c r="J133" s="62" t="n">
        <v>13.4</v>
      </c>
      <c r="K133" s="13" t="n">
        <v>85</v>
      </c>
      <c r="L133" s="13" t="n">
        <v>11</v>
      </c>
    </row>
    <row r="134">
      <c r="A134" s="11" t="inlineStr">
        <is>
          <t>HOSP-0133</t>
        </is>
      </c>
      <c r="B134" s="61" t="n">
        <v>45717</v>
      </c>
      <c r="C134" s="11" t="inlineStr">
        <is>
          <t>Site 07</t>
        </is>
      </c>
      <c r="D134" s="11" t="inlineStr">
        <is>
          <t>General Medicine</t>
        </is>
      </c>
      <c r="E134" s="13" t="n">
        <v>158</v>
      </c>
      <c r="F134" s="13" t="n">
        <v>159</v>
      </c>
      <c r="G134" s="13" t="n">
        <v>714</v>
      </c>
      <c r="H134" s="13" t="n">
        <v>744</v>
      </c>
      <c r="I134" s="14" t="n">
        <v>4.49</v>
      </c>
      <c r="J134" s="62" t="n">
        <v>9.699999999999999</v>
      </c>
      <c r="K134" s="13" t="n">
        <v>141</v>
      </c>
      <c r="L134" s="13" t="n">
        <v>7</v>
      </c>
    </row>
    <row r="135">
      <c r="A135" s="11" t="inlineStr">
        <is>
          <t>HOSP-0134</t>
        </is>
      </c>
      <c r="B135" s="61" t="n">
        <v>45717</v>
      </c>
      <c r="C135" s="11" t="inlineStr">
        <is>
          <t>Site 07</t>
        </is>
      </c>
      <c r="D135" s="11" t="inlineStr">
        <is>
          <t>Nephrology</t>
        </is>
      </c>
      <c r="E135" s="13" t="n">
        <v>63</v>
      </c>
      <c r="F135" s="13" t="n">
        <v>62</v>
      </c>
      <c r="G135" s="13" t="n">
        <v>502</v>
      </c>
      <c r="H135" s="13" t="n">
        <v>558</v>
      </c>
      <c r="I135" s="14" t="n">
        <v>8.1</v>
      </c>
      <c r="J135" s="62" t="n">
        <v>13.2</v>
      </c>
      <c r="K135" s="13" t="n">
        <v>54</v>
      </c>
      <c r="L135" s="13" t="n">
        <v>5</v>
      </c>
    </row>
    <row r="136">
      <c r="A136" s="11" t="inlineStr">
        <is>
          <t>HOSP-0135</t>
        </is>
      </c>
      <c r="B136" s="61" t="n">
        <v>45717</v>
      </c>
      <c r="C136" s="11" t="inlineStr">
        <is>
          <t>Site 07</t>
        </is>
      </c>
      <c r="D136" s="11" t="inlineStr">
        <is>
          <t>Paediatrics</t>
        </is>
      </c>
      <c r="E136" s="13" t="n">
        <v>96</v>
      </c>
      <c r="F136" s="13" t="n">
        <v>100</v>
      </c>
      <c r="G136" s="13" t="n">
        <v>316</v>
      </c>
      <c r="H136" s="13" t="n">
        <v>341</v>
      </c>
      <c r="I136" s="14" t="n">
        <v>3.16</v>
      </c>
      <c r="J136" s="62" t="n">
        <v>5.1</v>
      </c>
      <c r="K136" s="13" t="n">
        <v>86</v>
      </c>
      <c r="L136" s="13" t="n">
        <v>4</v>
      </c>
    </row>
    <row r="137">
      <c r="A137" s="11" t="inlineStr">
        <is>
          <t>HOSP-0136</t>
        </is>
      </c>
      <c r="B137" s="61" t="n">
        <v>45717</v>
      </c>
      <c r="C137" s="11" t="inlineStr">
        <is>
          <t>Site 08</t>
        </is>
      </c>
      <c r="D137" s="11" t="inlineStr">
        <is>
          <t>Cardiology</t>
        </is>
      </c>
      <c r="E137" s="13" t="n">
        <v>104</v>
      </c>
      <c r="F137" s="13" t="n">
        <v>99</v>
      </c>
      <c r="G137" s="13" t="n">
        <v>567</v>
      </c>
      <c r="H137" s="13" t="n">
        <v>682</v>
      </c>
      <c r="I137" s="14" t="n">
        <v>5.73</v>
      </c>
      <c r="J137" s="62" t="n">
        <v>12.7</v>
      </c>
      <c r="K137" s="13" t="n">
        <v>88</v>
      </c>
      <c r="L137" s="13" t="n">
        <v>7</v>
      </c>
    </row>
    <row r="138">
      <c r="A138" s="11" t="inlineStr">
        <is>
          <t>HOSP-0137</t>
        </is>
      </c>
      <c r="B138" s="61" t="n">
        <v>45717</v>
      </c>
      <c r="C138" s="11" t="inlineStr">
        <is>
          <t>Site 08</t>
        </is>
      </c>
      <c r="D138" s="11" t="inlineStr">
        <is>
          <t>Orthopaedics</t>
        </is>
      </c>
      <c r="E138" s="13" t="n">
        <v>89</v>
      </c>
      <c r="F138" s="13" t="n">
        <v>86</v>
      </c>
      <c r="G138" s="13" t="n">
        <v>531</v>
      </c>
      <c r="H138" s="13" t="n">
        <v>589</v>
      </c>
      <c r="I138" s="14" t="n">
        <v>6.17</v>
      </c>
      <c r="J138" s="62" t="n">
        <v>12.2</v>
      </c>
      <c r="K138" s="13" t="n">
        <v>75</v>
      </c>
      <c r="L138" s="13" t="n">
        <v>10</v>
      </c>
    </row>
    <row r="139">
      <c r="A139" s="11" t="inlineStr">
        <is>
          <t>HOSP-0138</t>
        </is>
      </c>
      <c r="B139" s="61" t="n">
        <v>45717</v>
      </c>
      <c r="C139" s="11" t="inlineStr">
        <is>
          <t>Site 08</t>
        </is>
      </c>
      <c r="D139" s="11" t="inlineStr">
        <is>
          <t>General Medicine</t>
        </is>
      </c>
      <c r="E139" s="13" t="n">
        <v>148</v>
      </c>
      <c r="F139" s="13" t="n">
        <v>143</v>
      </c>
      <c r="G139" s="13" t="n">
        <v>570</v>
      </c>
      <c r="H139" s="13" t="n">
        <v>744</v>
      </c>
      <c r="I139" s="14" t="n">
        <v>3.99</v>
      </c>
      <c r="J139" s="62" t="n">
        <v>7.9</v>
      </c>
      <c r="K139" s="13" t="n">
        <v>134</v>
      </c>
      <c r="L139" s="13" t="n">
        <v>9</v>
      </c>
    </row>
    <row r="140">
      <c r="A140" s="11" t="inlineStr">
        <is>
          <t>HOSP-0139</t>
        </is>
      </c>
      <c r="B140" s="61" t="n">
        <v>45717</v>
      </c>
      <c r="C140" s="11" t="inlineStr">
        <is>
          <t>Site 08</t>
        </is>
      </c>
      <c r="D140" s="11" t="inlineStr">
        <is>
          <t>Nephrology</t>
        </is>
      </c>
      <c r="E140" s="13" t="n">
        <v>60</v>
      </c>
      <c r="F140" s="13" t="n">
        <v>61</v>
      </c>
      <c r="G140" s="13" t="n">
        <v>477</v>
      </c>
      <c r="H140" s="13" t="n">
        <v>558</v>
      </c>
      <c r="I140" s="14" t="n">
        <v>7.82</v>
      </c>
      <c r="J140" s="62" t="n">
        <v>12.2</v>
      </c>
      <c r="K140" s="13" t="n">
        <v>55</v>
      </c>
      <c r="L140" s="13" t="n">
        <v>5</v>
      </c>
    </row>
    <row r="141">
      <c r="A141" s="11" t="inlineStr">
        <is>
          <t>HOSP-0140</t>
        </is>
      </c>
      <c r="B141" s="61" t="n">
        <v>45717</v>
      </c>
      <c r="C141" s="11" t="inlineStr">
        <is>
          <t>Site 08</t>
        </is>
      </c>
      <c r="D141" s="11" t="inlineStr">
        <is>
          <t>Paediatrics</t>
        </is>
      </c>
      <c r="E141" s="13" t="n">
        <v>87</v>
      </c>
      <c r="F141" s="13" t="n">
        <v>92</v>
      </c>
      <c r="G141" s="13" t="n">
        <v>264</v>
      </c>
      <c r="H141" s="13" t="n">
        <v>341</v>
      </c>
      <c r="I141" s="14" t="n">
        <v>2.87</v>
      </c>
      <c r="J141" s="62" t="n">
        <v>6.9</v>
      </c>
      <c r="K141" s="13" t="n">
        <v>84</v>
      </c>
      <c r="L141" s="13" t="n">
        <v>3</v>
      </c>
    </row>
    <row r="142">
      <c r="A142" s="11" t="inlineStr">
        <is>
          <t>HOSP-0141</t>
        </is>
      </c>
      <c r="B142" s="61" t="n">
        <v>45717</v>
      </c>
      <c r="C142" s="11" t="inlineStr">
        <is>
          <t>Site 09</t>
        </is>
      </c>
      <c r="D142" s="11" t="inlineStr">
        <is>
          <t>Cardiology</t>
        </is>
      </c>
      <c r="E142" s="13" t="n">
        <v>92</v>
      </c>
      <c r="F142" s="13" t="n">
        <v>86</v>
      </c>
      <c r="G142" s="13" t="n">
        <v>476</v>
      </c>
      <c r="H142" s="13" t="n">
        <v>682</v>
      </c>
      <c r="I142" s="14" t="n">
        <v>5.53</v>
      </c>
      <c r="J142" s="62" t="n">
        <v>11.8</v>
      </c>
      <c r="K142" s="13" t="n">
        <v>76</v>
      </c>
      <c r="L142" s="13" t="n">
        <v>5</v>
      </c>
    </row>
    <row r="143">
      <c r="A143" s="11" t="inlineStr">
        <is>
          <t>HOSP-0142</t>
        </is>
      </c>
      <c r="B143" s="61" t="n">
        <v>45717</v>
      </c>
      <c r="C143" s="11" t="inlineStr">
        <is>
          <t>Site 09</t>
        </is>
      </c>
      <c r="D143" s="11" t="inlineStr">
        <is>
          <t>Orthopaedics</t>
        </is>
      </c>
      <c r="E143" s="13" t="n">
        <v>62</v>
      </c>
      <c r="F143" s="13" t="n">
        <v>63</v>
      </c>
      <c r="G143" s="13" t="n">
        <v>392</v>
      </c>
      <c r="H143" s="13" t="n">
        <v>589</v>
      </c>
      <c r="I143" s="14" t="n">
        <v>6.22</v>
      </c>
      <c r="J143" s="62" t="n">
        <v>14.6</v>
      </c>
      <c r="K143" s="13" t="n">
        <v>58</v>
      </c>
      <c r="L143" s="13" t="n">
        <v>9</v>
      </c>
    </row>
    <row r="144">
      <c r="A144" s="11" t="inlineStr">
        <is>
          <t>HOSP-0143</t>
        </is>
      </c>
      <c r="B144" s="61" t="n">
        <v>45717</v>
      </c>
      <c r="C144" s="11" t="inlineStr">
        <is>
          <t>Site 09</t>
        </is>
      </c>
      <c r="D144" s="11" t="inlineStr">
        <is>
          <t>General Medicine</t>
        </is>
      </c>
      <c r="E144" s="13" t="n">
        <v>132</v>
      </c>
      <c r="F144" s="13" t="n">
        <v>135</v>
      </c>
      <c r="G144" s="13" t="n">
        <v>530</v>
      </c>
      <c r="H144" s="13" t="n">
        <v>744</v>
      </c>
      <c r="I144" s="14" t="n">
        <v>3.93</v>
      </c>
      <c r="J144" s="62" t="n">
        <v>8.199999999999999</v>
      </c>
      <c r="K144" s="13" t="n">
        <v>116</v>
      </c>
      <c r="L144" s="13" t="n">
        <v>6</v>
      </c>
    </row>
    <row r="145">
      <c r="A145" s="11" t="inlineStr">
        <is>
          <t>HOSP-0144</t>
        </is>
      </c>
      <c r="B145" s="61" t="n">
        <v>45717</v>
      </c>
      <c r="C145" s="11" t="inlineStr">
        <is>
          <t>Site 09</t>
        </is>
      </c>
      <c r="D145" s="11" t="inlineStr">
        <is>
          <t>Nephrology</t>
        </is>
      </c>
      <c r="E145" s="13" t="n">
        <v>50</v>
      </c>
      <c r="F145" s="13" t="n">
        <v>56</v>
      </c>
      <c r="G145" s="13" t="n">
        <v>424</v>
      </c>
      <c r="H145" s="13" t="n">
        <v>558</v>
      </c>
      <c r="I145" s="14" t="n">
        <v>7.57</v>
      </c>
      <c r="J145" s="62" t="n">
        <v>11.6</v>
      </c>
      <c r="K145" s="13" t="n">
        <v>52</v>
      </c>
      <c r="L145" s="13" t="n">
        <v>4</v>
      </c>
    </row>
    <row r="146">
      <c r="A146" s="11" t="inlineStr">
        <is>
          <t>HOSP-0145</t>
        </is>
      </c>
      <c r="B146" s="61" t="n">
        <v>45717</v>
      </c>
      <c r="C146" s="11" t="inlineStr">
        <is>
          <t>Site 09</t>
        </is>
      </c>
      <c r="D146" s="11" t="inlineStr">
        <is>
          <t>Paediatrics</t>
        </is>
      </c>
      <c r="E146" s="13" t="n">
        <v>77</v>
      </c>
      <c r="F146" s="13" t="n">
        <v>77</v>
      </c>
      <c r="G146" s="13" t="n">
        <v>222</v>
      </c>
      <c r="H146" s="13" t="n">
        <v>341</v>
      </c>
      <c r="I146" s="14" t="n">
        <v>2.88</v>
      </c>
      <c r="J146" s="62" t="n">
        <v>6.1</v>
      </c>
      <c r="K146" s="13" t="n">
        <v>67</v>
      </c>
      <c r="L146" s="13" t="n">
        <v>3</v>
      </c>
    </row>
    <row r="147">
      <c r="A147" s="11" t="inlineStr">
        <is>
          <t>HOSP-0146</t>
        </is>
      </c>
      <c r="B147" s="61" t="n">
        <v>45717</v>
      </c>
      <c r="C147" s="11" t="inlineStr">
        <is>
          <t>Site 10</t>
        </is>
      </c>
      <c r="D147" s="11" t="inlineStr">
        <is>
          <t>Cardiology</t>
        </is>
      </c>
      <c r="E147" s="13" t="n">
        <v>88</v>
      </c>
      <c r="F147" s="13" t="n">
        <v>83</v>
      </c>
      <c r="G147" s="13" t="n">
        <v>383</v>
      </c>
      <c r="H147" s="13" t="n">
        <v>682</v>
      </c>
      <c r="I147" s="14" t="n">
        <v>4.61</v>
      </c>
      <c r="J147" s="62" t="n">
        <v>10.5</v>
      </c>
      <c r="K147" s="13" t="n">
        <v>74</v>
      </c>
      <c r="L147" s="13" t="n">
        <v>6</v>
      </c>
    </row>
    <row r="148">
      <c r="A148" s="11" t="inlineStr">
        <is>
          <t>HOSP-0147</t>
        </is>
      </c>
      <c r="B148" s="61" t="n">
        <v>45717</v>
      </c>
      <c r="C148" s="11" t="inlineStr">
        <is>
          <t>Site 10</t>
        </is>
      </c>
      <c r="D148" s="11" t="inlineStr">
        <is>
          <t>Orthopaedics</t>
        </is>
      </c>
      <c r="E148" s="13" t="n">
        <v>80</v>
      </c>
      <c r="F148" s="13" t="n">
        <v>82</v>
      </c>
      <c r="G148" s="13" t="n">
        <v>512</v>
      </c>
      <c r="H148" s="13" t="n">
        <v>589</v>
      </c>
      <c r="I148" s="14" t="n">
        <v>6.24</v>
      </c>
      <c r="J148" s="62" t="n">
        <v>16.6</v>
      </c>
      <c r="K148" s="13" t="n">
        <v>71</v>
      </c>
      <c r="L148" s="13" t="n">
        <v>9</v>
      </c>
    </row>
    <row r="149">
      <c r="A149" s="11" t="inlineStr">
        <is>
          <t>HOSP-0148</t>
        </is>
      </c>
      <c r="B149" s="61" t="n">
        <v>45717</v>
      </c>
      <c r="C149" s="11" t="inlineStr">
        <is>
          <t>Site 10</t>
        </is>
      </c>
      <c r="D149" s="11" t="inlineStr">
        <is>
          <t>General Medicine</t>
        </is>
      </c>
      <c r="E149" s="13" t="n">
        <v>140</v>
      </c>
      <c r="F149" s="13" t="n">
        <v>143</v>
      </c>
      <c r="G149" s="13" t="n">
        <v>541</v>
      </c>
      <c r="H149" s="13" t="n">
        <v>744</v>
      </c>
      <c r="I149" s="14" t="n">
        <v>3.78</v>
      </c>
      <c r="J149" s="62" t="n">
        <v>7.7</v>
      </c>
      <c r="K149" s="13" t="n">
        <v>125</v>
      </c>
      <c r="L149" s="13" t="n">
        <v>10</v>
      </c>
    </row>
    <row r="150">
      <c r="A150" s="11" t="inlineStr">
        <is>
          <t>HOSP-0149</t>
        </is>
      </c>
      <c r="B150" s="61" t="n">
        <v>45717</v>
      </c>
      <c r="C150" s="11" t="inlineStr">
        <is>
          <t>Site 10</t>
        </is>
      </c>
      <c r="D150" s="11" t="inlineStr">
        <is>
          <t>Nephrology</t>
        </is>
      </c>
      <c r="E150" s="13" t="n">
        <v>53</v>
      </c>
      <c r="F150" s="13" t="n">
        <v>49</v>
      </c>
      <c r="G150" s="13" t="n">
        <v>383</v>
      </c>
      <c r="H150" s="13" t="n">
        <v>558</v>
      </c>
      <c r="I150" s="14" t="n">
        <v>7.82</v>
      </c>
      <c r="J150" s="62" t="n">
        <v>15.1</v>
      </c>
      <c r="K150" s="13" t="n">
        <v>46</v>
      </c>
      <c r="L150" s="13" t="n">
        <v>4</v>
      </c>
    </row>
    <row r="151">
      <c r="A151" s="11" t="inlineStr">
        <is>
          <t>HOSP-0150</t>
        </is>
      </c>
      <c r="B151" s="61" t="n">
        <v>45717</v>
      </c>
      <c r="C151" s="11" t="inlineStr">
        <is>
          <t>Site 10</t>
        </is>
      </c>
      <c r="D151" s="11" t="inlineStr">
        <is>
          <t>Paediatrics</t>
        </is>
      </c>
      <c r="E151" s="13" t="n">
        <v>86</v>
      </c>
      <c r="F151" s="13" t="n">
        <v>92</v>
      </c>
      <c r="G151" s="13" t="n">
        <v>340</v>
      </c>
      <c r="H151" s="13" t="n">
        <v>341</v>
      </c>
      <c r="I151" s="14" t="n">
        <v>3.7</v>
      </c>
      <c r="J151" s="62" t="n">
        <v>7.2</v>
      </c>
      <c r="K151" s="13" t="n">
        <v>82</v>
      </c>
      <c r="L151" s="13" t="n">
        <v>5</v>
      </c>
    </row>
    <row r="152">
      <c r="A152" s="11" t="inlineStr">
        <is>
          <t>HOSP-0151</t>
        </is>
      </c>
      <c r="B152" s="61" t="n">
        <v>45748</v>
      </c>
      <c r="C152" s="11" t="inlineStr">
        <is>
          <t>Site 01</t>
        </is>
      </c>
      <c r="D152" s="11" t="inlineStr">
        <is>
          <t>Cardiology</t>
        </is>
      </c>
      <c r="E152" s="13" t="n">
        <v>107</v>
      </c>
      <c r="F152" s="13" t="n">
        <v>107</v>
      </c>
      <c r="G152" s="13" t="n">
        <v>587</v>
      </c>
      <c r="H152" s="13" t="n">
        <v>660</v>
      </c>
      <c r="I152" s="14" t="n">
        <v>5.49</v>
      </c>
      <c r="J152" s="62" t="n">
        <v>10.5</v>
      </c>
      <c r="K152" s="13" t="n">
        <v>95</v>
      </c>
      <c r="L152" s="13" t="n">
        <v>8</v>
      </c>
    </row>
    <row r="153">
      <c r="A153" s="11" t="inlineStr">
        <is>
          <t>HOSP-0152</t>
        </is>
      </c>
      <c r="B153" s="61" t="n">
        <v>45748</v>
      </c>
      <c r="C153" s="11" t="inlineStr">
        <is>
          <t>Site 01</t>
        </is>
      </c>
      <c r="D153" s="11" t="inlineStr">
        <is>
          <t>Orthopaedics</t>
        </is>
      </c>
      <c r="E153" s="13" t="n">
        <v>81</v>
      </c>
      <c r="F153" s="13" t="n">
        <v>81</v>
      </c>
      <c r="G153" s="13" t="n">
        <v>507</v>
      </c>
      <c r="H153" s="13" t="n">
        <v>570</v>
      </c>
      <c r="I153" s="14" t="n">
        <v>6.26</v>
      </c>
      <c r="J153" s="62" t="n">
        <v>10.7</v>
      </c>
      <c r="K153" s="13" t="n">
        <v>76</v>
      </c>
      <c r="L153" s="13" t="n">
        <v>8</v>
      </c>
    </row>
    <row r="154">
      <c r="A154" s="11" t="inlineStr">
        <is>
          <t>HOSP-0153</t>
        </is>
      </c>
      <c r="B154" s="61" t="n">
        <v>45748</v>
      </c>
      <c r="C154" s="11" t="inlineStr">
        <is>
          <t>Site 01</t>
        </is>
      </c>
      <c r="D154" s="11" t="inlineStr">
        <is>
          <t>General Medicine</t>
        </is>
      </c>
      <c r="E154" s="13" t="n">
        <v>142</v>
      </c>
      <c r="F154" s="13" t="n">
        <v>142</v>
      </c>
      <c r="G154" s="13" t="n">
        <v>571</v>
      </c>
      <c r="H154" s="13" t="n">
        <v>720</v>
      </c>
      <c r="I154" s="14" t="n">
        <v>4.02</v>
      </c>
      <c r="J154" s="62" t="n">
        <v>7.3</v>
      </c>
      <c r="K154" s="13" t="n">
        <v>124</v>
      </c>
      <c r="L154" s="13" t="n">
        <v>6</v>
      </c>
    </row>
    <row r="155">
      <c r="A155" s="11" t="inlineStr">
        <is>
          <t>HOSP-0154</t>
        </is>
      </c>
      <c r="B155" s="61" t="n">
        <v>45748</v>
      </c>
      <c r="C155" s="11" t="inlineStr">
        <is>
          <t>Site 01</t>
        </is>
      </c>
      <c r="D155" s="11" t="inlineStr">
        <is>
          <t>Nephrology</t>
        </is>
      </c>
      <c r="E155" s="13" t="n">
        <v>56</v>
      </c>
      <c r="F155" s="13" t="n">
        <v>59</v>
      </c>
      <c r="G155" s="13" t="n">
        <v>444</v>
      </c>
      <c r="H155" s="13" t="n">
        <v>540</v>
      </c>
      <c r="I155" s="14" t="n">
        <v>7.53</v>
      </c>
      <c r="J155" s="62" t="n">
        <v>12.4</v>
      </c>
      <c r="K155" s="13" t="n">
        <v>51</v>
      </c>
      <c r="L155" s="13" t="n">
        <v>4</v>
      </c>
    </row>
    <row r="156">
      <c r="A156" s="11" t="inlineStr">
        <is>
          <t>HOSP-0155</t>
        </is>
      </c>
      <c r="B156" s="61" t="n">
        <v>45748</v>
      </c>
      <c r="C156" s="11" t="inlineStr">
        <is>
          <t>Site 01</t>
        </is>
      </c>
      <c r="D156" s="11" t="inlineStr">
        <is>
          <t>Paediatrics</t>
        </is>
      </c>
      <c r="E156" s="13" t="n">
        <v>94</v>
      </c>
      <c r="F156" s="13" t="n">
        <v>91</v>
      </c>
      <c r="G156" s="13" t="n">
        <v>250</v>
      </c>
      <c r="H156" s="13" t="n">
        <v>330</v>
      </c>
      <c r="I156" s="14" t="n">
        <v>2.75</v>
      </c>
      <c r="J156" s="62" t="n">
        <v>5</v>
      </c>
      <c r="K156" s="13" t="n">
        <v>80</v>
      </c>
      <c r="L156" s="13" t="n">
        <v>4</v>
      </c>
    </row>
    <row r="157">
      <c r="A157" s="11" t="inlineStr">
        <is>
          <t>HOSP-0156</t>
        </is>
      </c>
      <c r="B157" s="61" t="n">
        <v>45748</v>
      </c>
      <c r="C157" s="11" t="inlineStr">
        <is>
          <t>Site 02</t>
        </is>
      </c>
      <c r="D157" s="11" t="inlineStr">
        <is>
          <t>Cardiology</t>
        </is>
      </c>
      <c r="E157" s="13" t="n">
        <v>99</v>
      </c>
      <c r="F157" s="13" t="n">
        <v>101</v>
      </c>
      <c r="G157" s="13" t="n">
        <v>524</v>
      </c>
      <c r="H157" s="13" t="n">
        <v>660</v>
      </c>
      <c r="I157" s="14" t="n">
        <v>5.19</v>
      </c>
      <c r="J157" s="62" t="n">
        <v>10.8</v>
      </c>
      <c r="K157" s="13" t="n">
        <v>95</v>
      </c>
      <c r="L157" s="13" t="n">
        <v>6</v>
      </c>
    </row>
    <row r="158">
      <c r="A158" s="11" t="inlineStr">
        <is>
          <t>HOSP-0157</t>
        </is>
      </c>
      <c r="B158" s="61" t="n">
        <v>45748</v>
      </c>
      <c r="C158" s="11" t="inlineStr">
        <is>
          <t>Site 02</t>
        </is>
      </c>
      <c r="D158" s="11" t="inlineStr">
        <is>
          <t>Orthopaedics</t>
        </is>
      </c>
      <c r="E158" s="13" t="n">
        <v>66</v>
      </c>
      <c r="F158" s="13" t="n">
        <v>67</v>
      </c>
      <c r="G158" s="13" t="n">
        <v>416</v>
      </c>
      <c r="H158" s="13" t="n">
        <v>570</v>
      </c>
      <c r="I158" s="14" t="n">
        <v>6.21</v>
      </c>
      <c r="J158" s="62" t="n">
        <v>16.1</v>
      </c>
      <c r="K158" s="13" t="n">
        <v>61</v>
      </c>
      <c r="L158" s="13" t="n">
        <v>4</v>
      </c>
    </row>
    <row r="159">
      <c r="A159" s="11" t="inlineStr">
        <is>
          <t>HOSP-0158</t>
        </is>
      </c>
      <c r="B159" s="61" t="n">
        <v>45748</v>
      </c>
      <c r="C159" s="11" t="inlineStr">
        <is>
          <t>Site 02</t>
        </is>
      </c>
      <c r="D159" s="11" t="inlineStr">
        <is>
          <t>General Medicine</t>
        </is>
      </c>
      <c r="E159" s="13" t="n">
        <v>126</v>
      </c>
      <c r="F159" s="13" t="n">
        <v>120</v>
      </c>
      <c r="G159" s="13" t="n">
        <v>456</v>
      </c>
      <c r="H159" s="13" t="n">
        <v>720</v>
      </c>
      <c r="I159" s="14" t="n">
        <v>3.8</v>
      </c>
      <c r="J159" s="62" t="n">
        <v>7.5</v>
      </c>
      <c r="K159" s="13" t="n">
        <v>105</v>
      </c>
      <c r="L159" s="13" t="n">
        <v>6</v>
      </c>
    </row>
    <row r="160">
      <c r="A160" s="11" t="inlineStr">
        <is>
          <t>HOSP-0159</t>
        </is>
      </c>
      <c r="B160" s="61" t="n">
        <v>45748</v>
      </c>
      <c r="C160" s="11" t="inlineStr">
        <is>
          <t>Site 02</t>
        </is>
      </c>
      <c r="D160" s="11" t="inlineStr">
        <is>
          <t>Nephrology</t>
        </is>
      </c>
      <c r="E160" s="13" t="n">
        <v>51</v>
      </c>
      <c r="F160" s="13" t="n">
        <v>46</v>
      </c>
      <c r="G160" s="13" t="n">
        <v>344</v>
      </c>
      <c r="H160" s="13" t="n">
        <v>540</v>
      </c>
      <c r="I160" s="14" t="n">
        <v>7.48</v>
      </c>
      <c r="J160" s="62" t="n">
        <v>11.2</v>
      </c>
      <c r="K160" s="13" t="n">
        <v>41</v>
      </c>
      <c r="L160" s="13" t="n">
        <v>3</v>
      </c>
    </row>
    <row r="161">
      <c r="A161" s="11" t="inlineStr">
        <is>
          <t>HOSP-0160</t>
        </is>
      </c>
      <c r="B161" s="61" t="n">
        <v>45748</v>
      </c>
      <c r="C161" s="11" t="inlineStr">
        <is>
          <t>Site 02</t>
        </is>
      </c>
      <c r="D161" s="11" t="inlineStr">
        <is>
          <t>Paediatrics</t>
        </is>
      </c>
      <c r="E161" s="13" t="n">
        <v>83</v>
      </c>
      <c r="F161" s="13" t="n">
        <v>88</v>
      </c>
      <c r="G161" s="13" t="n">
        <v>274</v>
      </c>
      <c r="H161" s="13" t="n">
        <v>330</v>
      </c>
      <c r="I161" s="14" t="n">
        <v>3.11</v>
      </c>
      <c r="J161" s="62" t="n">
        <v>6.4</v>
      </c>
      <c r="K161" s="13" t="n">
        <v>77</v>
      </c>
      <c r="L161" s="13" t="n">
        <v>3</v>
      </c>
    </row>
    <row r="162">
      <c r="A162" s="11" t="inlineStr">
        <is>
          <t>HOSP-0161</t>
        </is>
      </c>
      <c r="B162" s="61" t="n">
        <v>45748</v>
      </c>
      <c r="C162" s="11" t="inlineStr">
        <is>
          <t>Site 03</t>
        </is>
      </c>
      <c r="D162" s="11" t="inlineStr">
        <is>
          <t>Cardiology</t>
        </is>
      </c>
      <c r="E162" s="13" t="n">
        <v>129</v>
      </c>
      <c r="F162" s="13" t="n">
        <v>126</v>
      </c>
      <c r="G162" s="13" t="n">
        <v>605</v>
      </c>
      <c r="H162" s="13" t="n">
        <v>660</v>
      </c>
      <c r="I162" s="14" t="n">
        <v>4.8</v>
      </c>
      <c r="J162" s="62" t="n">
        <v>10.6</v>
      </c>
      <c r="K162" s="13" t="n">
        <v>117</v>
      </c>
      <c r="L162" s="13" t="n">
        <v>8</v>
      </c>
    </row>
    <row r="163">
      <c r="A163" s="11" t="inlineStr">
        <is>
          <t>HOSP-0162</t>
        </is>
      </c>
      <c r="B163" s="61" t="n">
        <v>45748</v>
      </c>
      <c r="C163" s="11" t="inlineStr">
        <is>
          <t>Site 03</t>
        </is>
      </c>
      <c r="D163" s="11" t="inlineStr">
        <is>
          <t>Orthopaedics</t>
        </is>
      </c>
      <c r="E163" s="13" t="n">
        <v>83</v>
      </c>
      <c r="F163" s="13" t="n">
        <v>88</v>
      </c>
      <c r="G163" s="13" t="n">
        <v>555</v>
      </c>
      <c r="H163" s="13" t="n">
        <v>570</v>
      </c>
      <c r="I163" s="14" t="n">
        <v>6.31</v>
      </c>
      <c r="J163" s="62" t="n">
        <v>13</v>
      </c>
      <c r="K163" s="13" t="n">
        <v>81</v>
      </c>
      <c r="L163" s="13" t="n">
        <v>12</v>
      </c>
    </row>
    <row r="164">
      <c r="A164" s="11" t="inlineStr">
        <is>
          <t>HOSP-0163</t>
        </is>
      </c>
      <c r="B164" s="61" t="n">
        <v>45748</v>
      </c>
      <c r="C164" s="11" t="inlineStr">
        <is>
          <t>Site 03</t>
        </is>
      </c>
      <c r="D164" s="11" t="inlineStr">
        <is>
          <t>General Medicine</t>
        </is>
      </c>
      <c r="E164" s="13" t="n">
        <v>177</v>
      </c>
      <c r="F164" s="13" t="n">
        <v>177</v>
      </c>
      <c r="G164" s="13" t="n">
        <v>685</v>
      </c>
      <c r="H164" s="13" t="n">
        <v>720</v>
      </c>
      <c r="I164" s="14" t="n">
        <v>3.87</v>
      </c>
      <c r="J164" s="62" t="n">
        <v>7.7</v>
      </c>
      <c r="K164" s="13" t="n">
        <v>166</v>
      </c>
      <c r="L164" s="13" t="n">
        <v>10</v>
      </c>
    </row>
    <row r="165">
      <c r="A165" s="11" t="inlineStr">
        <is>
          <t>HOSP-0164</t>
        </is>
      </c>
      <c r="B165" s="61" t="n">
        <v>45748</v>
      </c>
      <c r="C165" s="11" t="inlineStr">
        <is>
          <t>Site 03</t>
        </is>
      </c>
      <c r="D165" s="11" t="inlineStr">
        <is>
          <t>Nephrology</t>
        </is>
      </c>
      <c r="E165" s="13" t="n">
        <v>57</v>
      </c>
      <c r="F165" s="13" t="n">
        <v>57</v>
      </c>
      <c r="G165" s="13" t="n">
        <v>440</v>
      </c>
      <c r="H165" s="13" t="n">
        <v>540</v>
      </c>
      <c r="I165" s="14" t="n">
        <v>7.72</v>
      </c>
      <c r="J165" s="62" t="n">
        <v>15.3</v>
      </c>
      <c r="K165" s="13" t="n">
        <v>51</v>
      </c>
      <c r="L165" s="13" t="n">
        <v>5</v>
      </c>
    </row>
    <row r="166">
      <c r="A166" s="11" t="inlineStr">
        <is>
          <t>HOSP-0165</t>
        </is>
      </c>
      <c r="B166" s="61" t="n">
        <v>45748</v>
      </c>
      <c r="C166" s="11" t="inlineStr">
        <is>
          <t>Site 03</t>
        </is>
      </c>
      <c r="D166" s="11" t="inlineStr">
        <is>
          <t>Paediatrics</t>
        </is>
      </c>
      <c r="E166" s="13" t="n">
        <v>90</v>
      </c>
      <c r="F166" s="13" t="n">
        <v>88</v>
      </c>
      <c r="G166" s="13" t="n">
        <v>273</v>
      </c>
      <c r="H166" s="13" t="n">
        <v>330</v>
      </c>
      <c r="I166" s="14" t="n">
        <v>3.1</v>
      </c>
      <c r="J166" s="62" t="n">
        <v>6.8</v>
      </c>
      <c r="K166" s="13" t="n">
        <v>79</v>
      </c>
      <c r="L166" s="13" t="n">
        <v>5</v>
      </c>
    </row>
    <row r="167">
      <c r="A167" s="11" t="inlineStr">
        <is>
          <t>HOSP-0166</t>
        </is>
      </c>
      <c r="B167" s="61" t="n">
        <v>45748</v>
      </c>
      <c r="C167" s="11" t="inlineStr">
        <is>
          <t>Site 04</t>
        </is>
      </c>
      <c r="D167" s="11" t="inlineStr">
        <is>
          <t>Cardiology</t>
        </is>
      </c>
      <c r="E167" s="13" t="n">
        <v>110</v>
      </c>
      <c r="F167" s="13" t="n">
        <v>105</v>
      </c>
      <c r="G167" s="13" t="n">
        <v>565</v>
      </c>
      <c r="H167" s="13" t="n">
        <v>660</v>
      </c>
      <c r="I167" s="14" t="n">
        <v>5.38</v>
      </c>
      <c r="J167" s="62" t="n">
        <v>9</v>
      </c>
      <c r="K167" s="13" t="n">
        <v>92</v>
      </c>
      <c r="L167" s="13" t="n">
        <v>9</v>
      </c>
    </row>
    <row r="168">
      <c r="A168" s="11" t="inlineStr">
        <is>
          <t>HOSP-0167</t>
        </is>
      </c>
      <c r="B168" s="61" t="n">
        <v>45748</v>
      </c>
      <c r="C168" s="11" t="inlineStr">
        <is>
          <t>Site 04</t>
        </is>
      </c>
      <c r="D168" s="11" t="inlineStr">
        <is>
          <t>Orthopaedics</t>
        </is>
      </c>
      <c r="E168" s="13" t="n">
        <v>82</v>
      </c>
      <c r="F168" s="13" t="n">
        <v>78</v>
      </c>
      <c r="G168" s="13" t="n">
        <v>501</v>
      </c>
      <c r="H168" s="13" t="n">
        <v>570</v>
      </c>
      <c r="I168" s="14" t="n">
        <v>6.42</v>
      </c>
      <c r="J168" s="62" t="n">
        <v>14.8</v>
      </c>
      <c r="K168" s="13" t="n">
        <v>70</v>
      </c>
      <c r="L168" s="13" t="n">
        <v>10</v>
      </c>
    </row>
    <row r="169">
      <c r="A169" s="11" t="inlineStr">
        <is>
          <t>HOSP-0168</t>
        </is>
      </c>
      <c r="B169" s="61" t="n">
        <v>45748</v>
      </c>
      <c r="C169" s="11" t="inlineStr">
        <is>
          <t>Site 04</t>
        </is>
      </c>
      <c r="D169" s="11" t="inlineStr">
        <is>
          <t>General Medicine</t>
        </is>
      </c>
      <c r="E169" s="13" t="n">
        <v>150</v>
      </c>
      <c r="F169" s="13" t="n">
        <v>155</v>
      </c>
      <c r="G169" s="13" t="n">
        <v>632</v>
      </c>
      <c r="H169" s="13" t="n">
        <v>720</v>
      </c>
      <c r="I169" s="14" t="n">
        <v>4.08</v>
      </c>
      <c r="J169" s="62" t="n">
        <v>5.2</v>
      </c>
      <c r="K169" s="13" t="n">
        <v>143</v>
      </c>
      <c r="L169" s="13" t="n">
        <v>4</v>
      </c>
    </row>
    <row r="170">
      <c r="A170" s="11" t="inlineStr">
        <is>
          <t>HOSP-0169</t>
        </is>
      </c>
      <c r="B170" s="61" t="n">
        <v>45748</v>
      </c>
      <c r="C170" s="11" t="inlineStr">
        <is>
          <t>Site 04</t>
        </is>
      </c>
      <c r="D170" s="11" t="inlineStr">
        <is>
          <t>Nephrology</t>
        </is>
      </c>
      <c r="E170" s="13" t="n">
        <v>50</v>
      </c>
      <c r="F170" s="13" t="n">
        <v>54</v>
      </c>
      <c r="G170" s="13" t="n">
        <v>433</v>
      </c>
      <c r="H170" s="13" t="n">
        <v>540</v>
      </c>
      <c r="I170" s="14" t="n">
        <v>8.02</v>
      </c>
      <c r="J170" s="62" t="n">
        <v>10.8</v>
      </c>
      <c r="K170" s="13" t="n">
        <v>47</v>
      </c>
      <c r="L170" s="13" t="n">
        <v>5</v>
      </c>
    </row>
    <row r="171">
      <c r="A171" s="11" t="inlineStr">
        <is>
          <t>HOSP-0170</t>
        </is>
      </c>
      <c r="B171" s="61" t="n">
        <v>45748</v>
      </c>
      <c r="C171" s="11" t="inlineStr">
        <is>
          <t>Site 04</t>
        </is>
      </c>
      <c r="D171" s="11" t="inlineStr">
        <is>
          <t>Paediatrics</t>
        </is>
      </c>
      <c r="E171" s="13" t="n">
        <v>84</v>
      </c>
      <c r="F171" s="13" t="n">
        <v>79</v>
      </c>
      <c r="G171" s="13" t="n">
        <v>278</v>
      </c>
      <c r="H171" s="13" t="n">
        <v>330</v>
      </c>
      <c r="I171" s="14" t="n">
        <v>3.52</v>
      </c>
      <c r="J171" s="62" t="n">
        <v>6.5</v>
      </c>
      <c r="K171" s="13" t="n">
        <v>73</v>
      </c>
      <c r="L171" s="13" t="n">
        <v>5</v>
      </c>
    </row>
    <row r="172">
      <c r="A172" s="11" t="inlineStr">
        <is>
          <t>HOSP-0171</t>
        </is>
      </c>
      <c r="B172" s="61" t="n">
        <v>45748</v>
      </c>
      <c r="C172" s="11" t="inlineStr">
        <is>
          <t>Site 05</t>
        </is>
      </c>
      <c r="D172" s="11" t="inlineStr">
        <is>
          <t>Cardiology</t>
        </is>
      </c>
      <c r="E172" s="13" t="n">
        <v>90</v>
      </c>
      <c r="F172" s="13" t="n">
        <v>90</v>
      </c>
      <c r="G172" s="13" t="n">
        <v>465</v>
      </c>
      <c r="H172" s="13" t="n">
        <v>660</v>
      </c>
      <c r="I172" s="14" t="n">
        <v>5.17</v>
      </c>
      <c r="J172" s="62" t="n">
        <v>10.5</v>
      </c>
      <c r="K172" s="13" t="n">
        <v>85</v>
      </c>
      <c r="L172" s="13" t="n">
        <v>6</v>
      </c>
    </row>
    <row r="173">
      <c r="A173" s="11" t="inlineStr">
        <is>
          <t>HOSP-0172</t>
        </is>
      </c>
      <c r="B173" s="61" t="n">
        <v>45748</v>
      </c>
      <c r="C173" s="11" t="inlineStr">
        <is>
          <t>Site 05</t>
        </is>
      </c>
      <c r="D173" s="11" t="inlineStr">
        <is>
          <t>Orthopaedics</t>
        </is>
      </c>
      <c r="E173" s="13" t="n">
        <v>61</v>
      </c>
      <c r="F173" s="13" t="n">
        <v>60</v>
      </c>
      <c r="G173" s="13" t="n">
        <v>386</v>
      </c>
      <c r="H173" s="13" t="n">
        <v>570</v>
      </c>
      <c r="I173" s="14" t="n">
        <v>6.43</v>
      </c>
      <c r="J173" s="62" t="n">
        <v>14.1</v>
      </c>
      <c r="K173" s="13" t="n">
        <v>52</v>
      </c>
      <c r="L173" s="13" t="n">
        <v>7</v>
      </c>
    </row>
    <row r="174">
      <c r="A174" s="11" t="inlineStr">
        <is>
          <t>HOSP-0173</t>
        </is>
      </c>
      <c r="B174" s="61" t="n">
        <v>45748</v>
      </c>
      <c r="C174" s="11" t="inlineStr">
        <is>
          <t>Site 05</t>
        </is>
      </c>
      <c r="D174" s="11" t="inlineStr">
        <is>
          <t>General Medicine</t>
        </is>
      </c>
      <c r="E174" s="13" t="n">
        <v>130</v>
      </c>
      <c r="F174" s="13" t="n">
        <v>125</v>
      </c>
      <c r="G174" s="13" t="n">
        <v>470</v>
      </c>
      <c r="H174" s="13" t="n">
        <v>720</v>
      </c>
      <c r="I174" s="14" t="n">
        <v>3.76</v>
      </c>
      <c r="J174" s="62" t="n">
        <v>7</v>
      </c>
      <c r="K174" s="13" t="n">
        <v>112</v>
      </c>
      <c r="L174" s="13" t="n">
        <v>6</v>
      </c>
    </row>
    <row r="175">
      <c r="A175" s="11" t="inlineStr">
        <is>
          <t>HOSP-0174</t>
        </is>
      </c>
      <c r="B175" s="61" t="n">
        <v>45748</v>
      </c>
      <c r="C175" s="11" t="inlineStr">
        <is>
          <t>Site 05</t>
        </is>
      </c>
      <c r="D175" s="11" t="inlineStr">
        <is>
          <t>Nephrology</t>
        </is>
      </c>
      <c r="E175" s="13" t="n">
        <v>42</v>
      </c>
      <c r="F175" s="13" t="n">
        <v>47</v>
      </c>
      <c r="G175" s="13" t="n">
        <v>376</v>
      </c>
      <c r="H175" s="13" t="n">
        <v>540</v>
      </c>
      <c r="I175" s="14" t="n">
        <v>8</v>
      </c>
      <c r="J175" s="62" t="n">
        <v>13.2</v>
      </c>
      <c r="K175" s="13" t="n">
        <v>42</v>
      </c>
      <c r="L175" s="13" t="n">
        <v>4</v>
      </c>
    </row>
    <row r="176">
      <c r="A176" s="11" t="inlineStr">
        <is>
          <t>HOSP-0175</t>
        </is>
      </c>
      <c r="B176" s="61" t="n">
        <v>45748</v>
      </c>
      <c r="C176" s="11" t="inlineStr">
        <is>
          <t>Site 05</t>
        </is>
      </c>
      <c r="D176" s="11" t="inlineStr">
        <is>
          <t>Paediatrics</t>
        </is>
      </c>
      <c r="E176" s="13" t="n">
        <v>76</v>
      </c>
      <c r="F176" s="13" t="n">
        <v>82</v>
      </c>
      <c r="G176" s="13" t="n">
        <v>264</v>
      </c>
      <c r="H176" s="13" t="n">
        <v>330</v>
      </c>
      <c r="I176" s="14" t="n">
        <v>3.22</v>
      </c>
      <c r="J176" s="62" t="n">
        <v>5.4</v>
      </c>
      <c r="K176" s="13" t="n">
        <v>76</v>
      </c>
      <c r="L176" s="13" t="n">
        <v>4</v>
      </c>
    </row>
    <row r="177">
      <c r="A177" s="11" t="inlineStr">
        <is>
          <t>HOSP-0176</t>
        </is>
      </c>
      <c r="B177" s="61" t="n">
        <v>45748</v>
      </c>
      <c r="C177" s="11" t="inlineStr">
        <is>
          <t>Site 06</t>
        </is>
      </c>
      <c r="D177" s="11" t="inlineStr">
        <is>
          <t>Cardiology</t>
        </is>
      </c>
      <c r="E177" s="13" t="n">
        <v>112</v>
      </c>
      <c r="F177" s="13" t="n">
        <v>116</v>
      </c>
      <c r="G177" s="13" t="n">
        <v>635</v>
      </c>
      <c r="H177" s="13" t="n">
        <v>660</v>
      </c>
      <c r="I177" s="14" t="n">
        <v>5.47</v>
      </c>
      <c r="J177" s="62" t="n">
        <v>12.4</v>
      </c>
      <c r="K177" s="13" t="n">
        <v>103</v>
      </c>
      <c r="L177" s="13" t="n">
        <v>10</v>
      </c>
    </row>
    <row r="178">
      <c r="A178" s="11" t="inlineStr">
        <is>
          <t>HOSP-0177</t>
        </is>
      </c>
      <c r="B178" s="61" t="n">
        <v>45748</v>
      </c>
      <c r="C178" s="11" t="inlineStr">
        <is>
          <t>Site 06</t>
        </is>
      </c>
      <c r="D178" s="11" t="inlineStr">
        <is>
          <t>Orthopaedics</t>
        </is>
      </c>
      <c r="E178" s="13" t="n">
        <v>82</v>
      </c>
      <c r="F178" s="13" t="n">
        <v>87</v>
      </c>
      <c r="G178" s="13" t="n">
        <v>555</v>
      </c>
      <c r="H178" s="13" t="n">
        <v>570</v>
      </c>
      <c r="I178" s="14" t="n">
        <v>6.38</v>
      </c>
      <c r="J178" s="62" t="n">
        <v>14.2</v>
      </c>
      <c r="K178" s="13" t="n">
        <v>81</v>
      </c>
      <c r="L178" s="13" t="n">
        <v>12</v>
      </c>
    </row>
    <row r="179">
      <c r="A179" s="11" t="inlineStr">
        <is>
          <t>HOSP-0178</t>
        </is>
      </c>
      <c r="B179" s="61" t="n">
        <v>45748</v>
      </c>
      <c r="C179" s="11" t="inlineStr">
        <is>
          <t>Site 06</t>
        </is>
      </c>
      <c r="D179" s="11" t="inlineStr">
        <is>
          <t>General Medicine</t>
        </is>
      </c>
      <c r="E179" s="13" t="n">
        <v>166</v>
      </c>
      <c r="F179" s="13" t="n">
        <v>167</v>
      </c>
      <c r="G179" s="13" t="n">
        <v>639</v>
      </c>
      <c r="H179" s="13" t="n">
        <v>720</v>
      </c>
      <c r="I179" s="14" t="n">
        <v>3.83</v>
      </c>
      <c r="J179" s="62" t="n">
        <v>7.6</v>
      </c>
      <c r="K179" s="13" t="n">
        <v>149</v>
      </c>
      <c r="L179" s="13" t="n">
        <v>9</v>
      </c>
    </row>
    <row r="180">
      <c r="A180" s="11" t="inlineStr">
        <is>
          <t>HOSP-0179</t>
        </is>
      </c>
      <c r="B180" s="61" t="n">
        <v>45748</v>
      </c>
      <c r="C180" s="11" t="inlineStr">
        <is>
          <t>Site 06</t>
        </is>
      </c>
      <c r="D180" s="11" t="inlineStr">
        <is>
          <t>Nephrology</t>
        </is>
      </c>
      <c r="E180" s="13" t="n">
        <v>62</v>
      </c>
      <c r="F180" s="13" t="n">
        <v>60</v>
      </c>
      <c r="G180" s="13" t="n">
        <v>457</v>
      </c>
      <c r="H180" s="13" t="n">
        <v>540</v>
      </c>
      <c r="I180" s="14" t="n">
        <v>7.62</v>
      </c>
      <c r="J180" s="62" t="n">
        <v>13.6</v>
      </c>
      <c r="K180" s="13" t="n">
        <v>52</v>
      </c>
      <c r="L180" s="13" t="n">
        <v>4</v>
      </c>
    </row>
    <row r="181">
      <c r="A181" s="11" t="inlineStr">
        <is>
          <t>HOSP-0180</t>
        </is>
      </c>
      <c r="B181" s="61" t="n">
        <v>45748</v>
      </c>
      <c r="C181" s="11" t="inlineStr">
        <is>
          <t>Site 06</t>
        </is>
      </c>
      <c r="D181" s="11" t="inlineStr">
        <is>
          <t>Paediatrics</t>
        </is>
      </c>
      <c r="E181" s="13" t="n">
        <v>104</v>
      </c>
      <c r="F181" s="13" t="n">
        <v>106</v>
      </c>
      <c r="G181" s="13" t="n">
        <v>319</v>
      </c>
      <c r="H181" s="13" t="n">
        <v>330</v>
      </c>
      <c r="I181" s="14" t="n">
        <v>3.01</v>
      </c>
      <c r="J181" s="62" t="n">
        <v>5.2</v>
      </c>
      <c r="K181" s="13" t="n">
        <v>93</v>
      </c>
      <c r="L181" s="13" t="n">
        <v>4</v>
      </c>
    </row>
    <row r="182">
      <c r="A182" s="11" t="inlineStr">
        <is>
          <t>HOSP-0181</t>
        </is>
      </c>
      <c r="B182" s="61" t="n">
        <v>45748</v>
      </c>
      <c r="C182" s="11" t="inlineStr">
        <is>
          <t>Site 07</t>
        </is>
      </c>
      <c r="D182" s="11" t="inlineStr">
        <is>
          <t>Cardiology</t>
        </is>
      </c>
      <c r="E182" s="13" t="n">
        <v>110</v>
      </c>
      <c r="F182" s="13" t="n">
        <v>115</v>
      </c>
      <c r="G182" s="13" t="n">
        <v>586</v>
      </c>
      <c r="H182" s="13" t="n">
        <v>660</v>
      </c>
      <c r="I182" s="14" t="n">
        <v>5.1</v>
      </c>
      <c r="J182" s="62" t="n">
        <v>11.3</v>
      </c>
      <c r="K182" s="13" t="n">
        <v>105</v>
      </c>
      <c r="L182" s="13" t="n">
        <v>9</v>
      </c>
    </row>
    <row r="183">
      <c r="A183" s="11" t="inlineStr">
        <is>
          <t>HOSP-0182</t>
        </is>
      </c>
      <c r="B183" s="61" t="n">
        <v>45748</v>
      </c>
      <c r="C183" s="11" t="inlineStr">
        <is>
          <t>Site 07</t>
        </is>
      </c>
      <c r="D183" s="11" t="inlineStr">
        <is>
          <t>Orthopaedics</t>
        </is>
      </c>
      <c r="E183" s="13" t="n">
        <v>81</v>
      </c>
      <c r="F183" s="13" t="n">
        <v>78</v>
      </c>
      <c r="G183" s="13" t="n">
        <v>493</v>
      </c>
      <c r="H183" s="13" t="n">
        <v>570</v>
      </c>
      <c r="I183" s="14" t="n">
        <v>6.32</v>
      </c>
      <c r="J183" s="62" t="n">
        <v>10.5</v>
      </c>
      <c r="K183" s="13" t="n">
        <v>73</v>
      </c>
      <c r="L183" s="13" t="n">
        <v>6</v>
      </c>
    </row>
    <row r="184">
      <c r="A184" s="11" t="inlineStr">
        <is>
          <t>HOSP-0183</t>
        </is>
      </c>
      <c r="B184" s="61" t="n">
        <v>45748</v>
      </c>
      <c r="C184" s="11" t="inlineStr">
        <is>
          <t>Site 07</t>
        </is>
      </c>
      <c r="D184" s="11" t="inlineStr">
        <is>
          <t>General Medicine</t>
        </is>
      </c>
      <c r="E184" s="13" t="n">
        <v>157</v>
      </c>
      <c r="F184" s="13" t="n">
        <v>155</v>
      </c>
      <c r="G184" s="13" t="n">
        <v>659</v>
      </c>
      <c r="H184" s="13" t="n">
        <v>720</v>
      </c>
      <c r="I184" s="14" t="n">
        <v>4.25</v>
      </c>
      <c r="J184" s="62" t="n">
        <v>9.1</v>
      </c>
      <c r="K184" s="13" t="n">
        <v>138</v>
      </c>
      <c r="L184" s="13" t="n">
        <v>8</v>
      </c>
    </row>
    <row r="185">
      <c r="A185" s="11" t="inlineStr">
        <is>
          <t>HOSP-0184</t>
        </is>
      </c>
      <c r="B185" s="61" t="n">
        <v>45748</v>
      </c>
      <c r="C185" s="11" t="inlineStr">
        <is>
          <t>Site 07</t>
        </is>
      </c>
      <c r="D185" s="11" t="inlineStr">
        <is>
          <t>Nephrology</t>
        </is>
      </c>
      <c r="E185" s="13" t="n">
        <v>59</v>
      </c>
      <c r="F185" s="13" t="n">
        <v>61</v>
      </c>
      <c r="G185" s="13" t="n">
        <v>461</v>
      </c>
      <c r="H185" s="13" t="n">
        <v>540</v>
      </c>
      <c r="I185" s="14" t="n">
        <v>7.56</v>
      </c>
      <c r="J185" s="62" t="n">
        <v>12.5</v>
      </c>
      <c r="K185" s="13" t="n">
        <v>55</v>
      </c>
      <c r="L185" s="13" t="n">
        <v>4</v>
      </c>
    </row>
    <row r="186">
      <c r="A186" s="11" t="inlineStr">
        <is>
          <t>HOSP-0185</t>
        </is>
      </c>
      <c r="B186" s="61" t="n">
        <v>45748</v>
      </c>
      <c r="C186" s="11" t="inlineStr">
        <is>
          <t>Site 07</t>
        </is>
      </c>
      <c r="D186" s="11" t="inlineStr">
        <is>
          <t>Paediatrics</t>
        </is>
      </c>
      <c r="E186" s="13" t="n">
        <v>94</v>
      </c>
      <c r="F186" s="13" t="n">
        <v>99</v>
      </c>
      <c r="G186" s="13" t="n">
        <v>289</v>
      </c>
      <c r="H186" s="13" t="n">
        <v>330</v>
      </c>
      <c r="I186" s="14" t="n">
        <v>2.92</v>
      </c>
      <c r="J186" s="62" t="n">
        <v>7.3</v>
      </c>
      <c r="K186" s="13" t="n">
        <v>89</v>
      </c>
      <c r="L186" s="13" t="n">
        <v>5</v>
      </c>
    </row>
    <row r="187">
      <c r="A187" s="11" t="inlineStr">
        <is>
          <t>HOSP-0186</t>
        </is>
      </c>
      <c r="B187" s="61" t="n">
        <v>45748</v>
      </c>
      <c r="C187" s="11" t="inlineStr">
        <is>
          <t>Site 08</t>
        </is>
      </c>
      <c r="D187" s="11" t="inlineStr">
        <is>
          <t>Cardiology</t>
        </is>
      </c>
      <c r="E187" s="13" t="n">
        <v>105</v>
      </c>
      <c r="F187" s="13" t="n">
        <v>110</v>
      </c>
      <c r="G187" s="13" t="n">
        <v>543</v>
      </c>
      <c r="H187" s="13" t="n">
        <v>660</v>
      </c>
      <c r="I187" s="14" t="n">
        <v>4.94</v>
      </c>
      <c r="J187" s="62" t="n">
        <v>9.800000000000001</v>
      </c>
      <c r="K187" s="13" t="n">
        <v>103</v>
      </c>
      <c r="L187" s="13" t="n">
        <v>7</v>
      </c>
    </row>
    <row r="188">
      <c r="A188" s="11" t="inlineStr">
        <is>
          <t>HOSP-0187</t>
        </is>
      </c>
      <c r="B188" s="61" t="n">
        <v>45748</v>
      </c>
      <c r="C188" s="11" t="inlineStr">
        <is>
          <t>Site 08</t>
        </is>
      </c>
      <c r="D188" s="11" t="inlineStr">
        <is>
          <t>Orthopaedics</t>
        </is>
      </c>
      <c r="E188" s="13" t="n">
        <v>81</v>
      </c>
      <c r="F188" s="13" t="n">
        <v>75</v>
      </c>
      <c r="G188" s="13" t="n">
        <v>452</v>
      </c>
      <c r="H188" s="13" t="n">
        <v>570</v>
      </c>
      <c r="I188" s="14" t="n">
        <v>6.03</v>
      </c>
      <c r="J188" s="62" t="n">
        <v>14.2</v>
      </c>
      <c r="K188" s="13" t="n">
        <v>67</v>
      </c>
      <c r="L188" s="13" t="n">
        <v>7</v>
      </c>
    </row>
    <row r="189">
      <c r="A189" s="11" t="inlineStr">
        <is>
          <t>HOSP-0188</t>
        </is>
      </c>
      <c r="B189" s="61" t="n">
        <v>45748</v>
      </c>
      <c r="C189" s="11" t="inlineStr">
        <is>
          <t>Site 08</t>
        </is>
      </c>
      <c r="D189" s="11" t="inlineStr">
        <is>
          <t>General Medicine</t>
        </is>
      </c>
      <c r="E189" s="13" t="n">
        <v>174</v>
      </c>
      <c r="F189" s="13" t="n">
        <v>177</v>
      </c>
      <c r="G189" s="13" t="n">
        <v>714</v>
      </c>
      <c r="H189" s="13" t="n">
        <v>720</v>
      </c>
      <c r="I189" s="14" t="n">
        <v>4.03</v>
      </c>
      <c r="J189" s="62" t="n">
        <v>8.4</v>
      </c>
      <c r="K189" s="13" t="n">
        <v>156</v>
      </c>
      <c r="L189" s="13" t="n">
        <v>10</v>
      </c>
    </row>
    <row r="190">
      <c r="A190" s="11" t="inlineStr">
        <is>
          <t>HOSP-0189</t>
        </is>
      </c>
      <c r="B190" s="61" t="n">
        <v>45748</v>
      </c>
      <c r="C190" s="11" t="inlineStr">
        <is>
          <t>Site 08</t>
        </is>
      </c>
      <c r="D190" s="11" t="inlineStr">
        <is>
          <t>Nephrology</t>
        </is>
      </c>
      <c r="E190" s="13" t="n">
        <v>57</v>
      </c>
      <c r="F190" s="13" t="n">
        <v>54</v>
      </c>
      <c r="G190" s="13" t="n">
        <v>410</v>
      </c>
      <c r="H190" s="13" t="n">
        <v>540</v>
      </c>
      <c r="I190" s="14" t="n">
        <v>7.59</v>
      </c>
      <c r="J190" s="62" t="n">
        <v>14.2</v>
      </c>
      <c r="K190" s="13" t="n">
        <v>47</v>
      </c>
      <c r="L190" s="13" t="n">
        <v>4</v>
      </c>
    </row>
    <row r="191">
      <c r="A191" s="11" t="inlineStr">
        <is>
          <t>HOSP-0190</t>
        </is>
      </c>
      <c r="B191" s="61" t="n">
        <v>45748</v>
      </c>
      <c r="C191" s="11" t="inlineStr">
        <is>
          <t>Site 08</t>
        </is>
      </c>
      <c r="D191" s="11" t="inlineStr">
        <is>
          <t>Paediatrics</t>
        </is>
      </c>
      <c r="E191" s="13" t="n">
        <v>83</v>
      </c>
      <c r="F191" s="13" t="n">
        <v>79</v>
      </c>
      <c r="G191" s="13" t="n">
        <v>252</v>
      </c>
      <c r="H191" s="13" t="n">
        <v>330</v>
      </c>
      <c r="I191" s="14" t="n">
        <v>3.19</v>
      </c>
      <c r="J191" s="62" t="n">
        <v>7.6</v>
      </c>
      <c r="K191" s="13" t="n">
        <v>69</v>
      </c>
      <c r="L191" s="13" t="n">
        <v>3</v>
      </c>
    </row>
    <row r="192">
      <c r="A192" s="11" t="inlineStr">
        <is>
          <t>HOSP-0191</t>
        </is>
      </c>
      <c r="B192" s="61" t="n">
        <v>45748</v>
      </c>
      <c r="C192" s="11" t="inlineStr">
        <is>
          <t>Site 09</t>
        </is>
      </c>
      <c r="D192" s="11" t="inlineStr">
        <is>
          <t>Cardiology</t>
        </is>
      </c>
      <c r="E192" s="13" t="n">
        <v>83</v>
      </c>
      <c r="F192" s="13" t="n">
        <v>78</v>
      </c>
      <c r="G192" s="13" t="n">
        <v>367</v>
      </c>
      <c r="H192" s="13" t="n">
        <v>660</v>
      </c>
      <c r="I192" s="14" t="n">
        <v>4.71</v>
      </c>
      <c r="J192" s="62" t="n">
        <v>9.300000000000001</v>
      </c>
      <c r="K192" s="13" t="n">
        <v>68</v>
      </c>
      <c r="L192" s="13" t="n">
        <v>7</v>
      </c>
    </row>
    <row r="193">
      <c r="A193" s="11" t="inlineStr">
        <is>
          <t>HOSP-0192</t>
        </is>
      </c>
      <c r="B193" s="61" t="n">
        <v>45748</v>
      </c>
      <c r="C193" s="11" t="inlineStr">
        <is>
          <t>Site 09</t>
        </is>
      </c>
      <c r="D193" s="11" t="inlineStr">
        <is>
          <t>Orthopaedics</t>
        </is>
      </c>
      <c r="E193" s="13" t="n">
        <v>77</v>
      </c>
      <c r="F193" s="13" t="n">
        <v>76</v>
      </c>
      <c r="G193" s="13" t="n">
        <v>447</v>
      </c>
      <c r="H193" s="13" t="n">
        <v>570</v>
      </c>
      <c r="I193" s="14" t="n">
        <v>5.88</v>
      </c>
      <c r="J193" s="62" t="n">
        <v>16.4</v>
      </c>
      <c r="K193" s="13" t="n">
        <v>66</v>
      </c>
      <c r="L193" s="13" t="n">
        <v>8</v>
      </c>
    </row>
    <row r="194">
      <c r="A194" s="11" t="inlineStr">
        <is>
          <t>HOSP-0193</t>
        </is>
      </c>
      <c r="B194" s="61" t="n">
        <v>45748</v>
      </c>
      <c r="C194" s="11" t="inlineStr">
        <is>
          <t>Site 09</t>
        </is>
      </c>
      <c r="D194" s="11" t="inlineStr">
        <is>
          <t>General Medicine</t>
        </is>
      </c>
      <c r="E194" s="13" t="n">
        <v>133</v>
      </c>
      <c r="F194" s="13" t="n">
        <v>130</v>
      </c>
      <c r="G194" s="13" t="n">
        <v>523</v>
      </c>
      <c r="H194" s="13" t="n">
        <v>720</v>
      </c>
      <c r="I194" s="14" t="n">
        <v>4.02</v>
      </c>
      <c r="J194" s="62" t="n">
        <v>7.6</v>
      </c>
      <c r="K194" s="13" t="n">
        <v>113</v>
      </c>
      <c r="L194" s="13" t="n">
        <v>5</v>
      </c>
    </row>
    <row r="195">
      <c r="A195" s="11" t="inlineStr">
        <is>
          <t>HOSP-0194</t>
        </is>
      </c>
      <c r="B195" s="61" t="n">
        <v>45748</v>
      </c>
      <c r="C195" s="11" t="inlineStr">
        <is>
          <t>Site 09</t>
        </is>
      </c>
      <c r="D195" s="11" t="inlineStr">
        <is>
          <t>Nephrology</t>
        </is>
      </c>
      <c r="E195" s="13" t="n">
        <v>50</v>
      </c>
      <c r="F195" s="13" t="n">
        <v>47</v>
      </c>
      <c r="G195" s="13" t="n">
        <v>361</v>
      </c>
      <c r="H195" s="13" t="n">
        <v>540</v>
      </c>
      <c r="I195" s="14" t="n">
        <v>7.68</v>
      </c>
      <c r="J195" s="62" t="n">
        <v>11.6</v>
      </c>
      <c r="K195" s="13" t="n">
        <v>42</v>
      </c>
      <c r="L195" s="13" t="n">
        <v>4</v>
      </c>
    </row>
    <row r="196">
      <c r="A196" s="11" t="inlineStr">
        <is>
          <t>HOSP-0195</t>
        </is>
      </c>
      <c r="B196" s="61" t="n">
        <v>45748</v>
      </c>
      <c r="C196" s="11" t="inlineStr">
        <is>
          <t>Site 09</t>
        </is>
      </c>
      <c r="D196" s="11" t="inlineStr">
        <is>
          <t>Paediatrics</t>
        </is>
      </c>
      <c r="E196" s="13" t="n">
        <v>74</v>
      </c>
      <c r="F196" s="13" t="n">
        <v>68</v>
      </c>
      <c r="G196" s="13" t="n">
        <v>226</v>
      </c>
      <c r="H196" s="13" t="n">
        <v>330</v>
      </c>
      <c r="I196" s="14" t="n">
        <v>3.32</v>
      </c>
      <c r="J196" s="62" t="n">
        <v>7.7</v>
      </c>
      <c r="K196" s="13" t="n">
        <v>62</v>
      </c>
      <c r="L196" s="13" t="n">
        <v>4</v>
      </c>
    </row>
    <row r="197">
      <c r="A197" s="11" t="inlineStr">
        <is>
          <t>HOSP-0196</t>
        </is>
      </c>
      <c r="B197" s="61" t="n">
        <v>45748</v>
      </c>
      <c r="C197" s="11" t="inlineStr">
        <is>
          <t>Site 10</t>
        </is>
      </c>
      <c r="D197" s="11" t="inlineStr">
        <is>
          <t>Cardiology</t>
        </is>
      </c>
      <c r="E197" s="13" t="n">
        <v>109</v>
      </c>
      <c r="F197" s="13" t="n">
        <v>115</v>
      </c>
      <c r="G197" s="13" t="n">
        <v>639</v>
      </c>
      <c r="H197" s="13" t="n">
        <v>660</v>
      </c>
      <c r="I197" s="14" t="n">
        <v>5.56</v>
      </c>
      <c r="J197" s="62" t="n">
        <v>11.3</v>
      </c>
      <c r="K197" s="13" t="n">
        <v>99</v>
      </c>
      <c r="L197" s="13" t="n">
        <v>9</v>
      </c>
    </row>
    <row r="198">
      <c r="A198" s="11" t="inlineStr">
        <is>
          <t>HOSP-0197</t>
        </is>
      </c>
      <c r="B198" s="61" t="n">
        <v>45748</v>
      </c>
      <c r="C198" s="11" t="inlineStr">
        <is>
          <t>Site 10</t>
        </is>
      </c>
      <c r="D198" s="11" t="inlineStr">
        <is>
          <t>Orthopaedics</t>
        </is>
      </c>
      <c r="E198" s="13" t="n">
        <v>66</v>
      </c>
      <c r="F198" s="13" t="n">
        <v>64</v>
      </c>
      <c r="G198" s="13" t="n">
        <v>359</v>
      </c>
      <c r="H198" s="13" t="n">
        <v>570</v>
      </c>
      <c r="I198" s="14" t="n">
        <v>5.61</v>
      </c>
      <c r="J198" s="62" t="n">
        <v>12.7</v>
      </c>
      <c r="K198" s="13" t="n">
        <v>57</v>
      </c>
      <c r="L198" s="13" t="n">
        <v>9</v>
      </c>
    </row>
    <row r="199">
      <c r="A199" s="11" t="inlineStr">
        <is>
          <t>HOSP-0198</t>
        </is>
      </c>
      <c r="B199" s="61" t="n">
        <v>45748</v>
      </c>
      <c r="C199" s="11" t="inlineStr">
        <is>
          <t>Site 10</t>
        </is>
      </c>
      <c r="D199" s="11" t="inlineStr">
        <is>
          <t>General Medicine</t>
        </is>
      </c>
      <c r="E199" s="13" t="n">
        <v>158</v>
      </c>
      <c r="F199" s="13" t="n">
        <v>162</v>
      </c>
      <c r="G199" s="13" t="n">
        <v>637</v>
      </c>
      <c r="H199" s="13" t="n">
        <v>720</v>
      </c>
      <c r="I199" s="14" t="n">
        <v>3.93</v>
      </c>
      <c r="J199" s="62" t="n">
        <v>6.9</v>
      </c>
      <c r="K199" s="13" t="n">
        <v>151</v>
      </c>
      <c r="L199" s="13" t="n">
        <v>9</v>
      </c>
    </row>
    <row r="200">
      <c r="A200" s="11" t="inlineStr">
        <is>
          <t>HOSP-0199</t>
        </is>
      </c>
      <c r="B200" s="61" t="n">
        <v>45748</v>
      </c>
      <c r="C200" s="11" t="inlineStr">
        <is>
          <t>Site 10</t>
        </is>
      </c>
      <c r="D200" s="11" t="inlineStr">
        <is>
          <t>Nephrology</t>
        </is>
      </c>
      <c r="E200" s="13" t="n">
        <v>53</v>
      </c>
      <c r="F200" s="13" t="n">
        <v>58</v>
      </c>
      <c r="G200" s="13" t="n">
        <v>443</v>
      </c>
      <c r="H200" s="13" t="n">
        <v>540</v>
      </c>
      <c r="I200" s="14" t="n">
        <v>7.64</v>
      </c>
      <c r="J200" s="62" t="n">
        <v>13</v>
      </c>
      <c r="K200" s="13" t="n">
        <v>50</v>
      </c>
      <c r="L200" s="13" t="n">
        <v>5</v>
      </c>
    </row>
    <row r="201">
      <c r="A201" s="11" t="inlineStr">
        <is>
          <t>HOSP-0200</t>
        </is>
      </c>
      <c r="B201" s="61" t="n">
        <v>45748</v>
      </c>
      <c r="C201" s="11" t="inlineStr">
        <is>
          <t>Site 10</t>
        </is>
      </c>
      <c r="D201" s="11" t="inlineStr">
        <is>
          <t>Paediatrics</t>
        </is>
      </c>
      <c r="E201" s="13" t="n">
        <v>81</v>
      </c>
      <c r="F201" s="13" t="n">
        <v>76</v>
      </c>
      <c r="G201" s="13" t="n">
        <v>225</v>
      </c>
      <c r="H201" s="13" t="n">
        <v>330</v>
      </c>
      <c r="I201" s="14" t="n">
        <v>2.96</v>
      </c>
      <c r="J201" s="62" t="n">
        <v>6.3</v>
      </c>
      <c r="K201" s="13" t="n">
        <v>66</v>
      </c>
      <c r="L201" s="13" t="n">
        <v>3</v>
      </c>
    </row>
    <row r="202">
      <c r="A202" s="11" t="inlineStr">
        <is>
          <t>HOSP-0201</t>
        </is>
      </c>
      <c r="B202" s="61" t="n">
        <v>45778</v>
      </c>
      <c r="C202" s="11" t="inlineStr">
        <is>
          <t>Site 01</t>
        </is>
      </c>
      <c r="D202" s="11" t="inlineStr">
        <is>
          <t>Cardiology</t>
        </is>
      </c>
      <c r="E202" s="13" t="n">
        <v>123</v>
      </c>
      <c r="F202" s="13" t="n">
        <v>121</v>
      </c>
      <c r="G202" s="13" t="n">
        <v>620</v>
      </c>
      <c r="H202" s="13" t="n">
        <v>682</v>
      </c>
      <c r="I202" s="14" t="n">
        <v>5.12</v>
      </c>
      <c r="J202" s="62" t="n">
        <v>7.9</v>
      </c>
      <c r="K202" s="13" t="n">
        <v>112</v>
      </c>
      <c r="L202" s="13" t="n">
        <v>9</v>
      </c>
    </row>
    <row r="203">
      <c r="A203" s="11" t="inlineStr">
        <is>
          <t>HOSP-0202</t>
        </is>
      </c>
      <c r="B203" s="61" t="n">
        <v>45778</v>
      </c>
      <c r="C203" s="11" t="inlineStr">
        <is>
          <t>Site 01</t>
        </is>
      </c>
      <c r="D203" s="11" t="inlineStr">
        <is>
          <t>Orthopaedics</t>
        </is>
      </c>
      <c r="E203" s="13" t="n">
        <v>74</v>
      </c>
      <c r="F203" s="13" t="n">
        <v>70</v>
      </c>
      <c r="G203" s="13" t="n">
        <v>462</v>
      </c>
      <c r="H203" s="13" t="n">
        <v>589</v>
      </c>
      <c r="I203" s="14" t="n">
        <v>6.6</v>
      </c>
      <c r="J203" s="62" t="n">
        <v>13.7</v>
      </c>
      <c r="K203" s="13" t="n">
        <v>64</v>
      </c>
      <c r="L203" s="13" t="n">
        <v>8</v>
      </c>
    </row>
    <row r="204">
      <c r="A204" s="11" t="inlineStr">
        <is>
          <t>HOSP-0203</t>
        </is>
      </c>
      <c r="B204" s="61" t="n">
        <v>45778</v>
      </c>
      <c r="C204" s="11" t="inlineStr">
        <is>
          <t>Site 01</t>
        </is>
      </c>
      <c r="D204" s="11" t="inlineStr">
        <is>
          <t>General Medicine</t>
        </is>
      </c>
      <c r="E204" s="13" t="n">
        <v>156</v>
      </c>
      <c r="F204" s="13" t="n">
        <v>152</v>
      </c>
      <c r="G204" s="13" t="n">
        <v>608</v>
      </c>
      <c r="H204" s="13" t="n">
        <v>744</v>
      </c>
      <c r="I204" s="14" t="n">
        <v>4</v>
      </c>
      <c r="J204" s="62" t="n">
        <v>9.699999999999999</v>
      </c>
      <c r="K204" s="13" t="n">
        <v>135</v>
      </c>
      <c r="L204" s="13" t="n">
        <v>5</v>
      </c>
    </row>
    <row r="205">
      <c r="A205" s="11" t="inlineStr">
        <is>
          <t>HOSP-0204</t>
        </is>
      </c>
      <c r="B205" s="61" t="n">
        <v>45778</v>
      </c>
      <c r="C205" s="11" t="inlineStr">
        <is>
          <t>Site 01</t>
        </is>
      </c>
      <c r="D205" s="11" t="inlineStr">
        <is>
          <t>Nephrology</t>
        </is>
      </c>
      <c r="E205" s="13" t="n">
        <v>55</v>
      </c>
      <c r="F205" s="13" t="n">
        <v>55</v>
      </c>
      <c r="G205" s="13" t="n">
        <v>429</v>
      </c>
      <c r="H205" s="13" t="n">
        <v>558</v>
      </c>
      <c r="I205" s="14" t="n">
        <v>7.8</v>
      </c>
      <c r="J205" s="62" t="n">
        <v>13.5</v>
      </c>
      <c r="K205" s="13" t="n">
        <v>48</v>
      </c>
      <c r="L205" s="13" t="n">
        <v>4</v>
      </c>
    </row>
    <row r="206">
      <c r="A206" s="11" t="inlineStr">
        <is>
          <t>HOSP-0205</t>
        </is>
      </c>
      <c r="B206" s="61" t="n">
        <v>45778</v>
      </c>
      <c r="C206" s="11" t="inlineStr">
        <is>
          <t>Site 01</t>
        </is>
      </c>
      <c r="D206" s="11" t="inlineStr">
        <is>
          <t>Paediatrics</t>
        </is>
      </c>
      <c r="E206" s="13" t="n">
        <v>95</v>
      </c>
      <c r="F206" s="13" t="n">
        <v>89</v>
      </c>
      <c r="G206" s="13" t="n">
        <v>279</v>
      </c>
      <c r="H206" s="13" t="n">
        <v>341</v>
      </c>
      <c r="I206" s="14" t="n">
        <v>3.13</v>
      </c>
      <c r="J206" s="62" t="n">
        <v>7.3</v>
      </c>
      <c r="K206" s="13" t="n">
        <v>78</v>
      </c>
      <c r="L206" s="13" t="n">
        <v>4</v>
      </c>
    </row>
    <row r="207">
      <c r="A207" s="11" t="inlineStr">
        <is>
          <t>HOSP-0206</t>
        </is>
      </c>
      <c r="B207" s="61" t="n">
        <v>45778</v>
      </c>
      <c r="C207" s="11" t="inlineStr">
        <is>
          <t>Site 02</t>
        </is>
      </c>
      <c r="D207" s="11" t="inlineStr">
        <is>
          <t>Cardiology</t>
        </is>
      </c>
      <c r="E207" s="13" t="n">
        <v>104</v>
      </c>
      <c r="F207" s="13" t="n">
        <v>108</v>
      </c>
      <c r="G207" s="13" t="n">
        <v>565</v>
      </c>
      <c r="H207" s="13" t="n">
        <v>682</v>
      </c>
      <c r="I207" s="14" t="n">
        <v>5.23</v>
      </c>
      <c r="J207" s="62" t="n">
        <v>10.5</v>
      </c>
      <c r="K207" s="13" t="n">
        <v>101</v>
      </c>
      <c r="L207" s="13" t="n">
        <v>5</v>
      </c>
    </row>
    <row r="208">
      <c r="A208" s="11" t="inlineStr">
        <is>
          <t>HOSP-0207</t>
        </is>
      </c>
      <c r="B208" s="61" t="n">
        <v>45778</v>
      </c>
      <c r="C208" s="11" t="inlineStr">
        <is>
          <t>Site 02</t>
        </is>
      </c>
      <c r="D208" s="11" t="inlineStr">
        <is>
          <t>Orthopaedics</t>
        </is>
      </c>
      <c r="E208" s="13" t="n">
        <v>64</v>
      </c>
      <c r="F208" s="13" t="n">
        <v>66</v>
      </c>
      <c r="G208" s="13" t="n">
        <v>394</v>
      </c>
      <c r="H208" s="13" t="n">
        <v>589</v>
      </c>
      <c r="I208" s="14" t="n">
        <v>5.97</v>
      </c>
      <c r="J208" s="62" t="n">
        <v>13.6</v>
      </c>
      <c r="K208" s="13" t="n">
        <v>61</v>
      </c>
      <c r="L208" s="13" t="n">
        <v>7</v>
      </c>
    </row>
    <row r="209">
      <c r="A209" s="11" t="inlineStr">
        <is>
          <t>HOSP-0208</t>
        </is>
      </c>
      <c r="B209" s="61" t="n">
        <v>45778</v>
      </c>
      <c r="C209" s="11" t="inlineStr">
        <is>
          <t>Site 02</t>
        </is>
      </c>
      <c r="D209" s="11" t="inlineStr">
        <is>
          <t>General Medicine</t>
        </is>
      </c>
      <c r="E209" s="13" t="n">
        <v>133</v>
      </c>
      <c r="F209" s="13" t="n">
        <v>129</v>
      </c>
      <c r="G209" s="13" t="n">
        <v>592</v>
      </c>
      <c r="H209" s="13" t="n">
        <v>744</v>
      </c>
      <c r="I209" s="14" t="n">
        <v>4.59</v>
      </c>
      <c r="J209" s="62" t="n">
        <v>9.699999999999999</v>
      </c>
      <c r="K209" s="13" t="n">
        <v>111</v>
      </c>
      <c r="L209" s="13" t="n">
        <v>6</v>
      </c>
    </row>
    <row r="210">
      <c r="A210" s="11" t="inlineStr">
        <is>
          <t>HOSP-0209</t>
        </is>
      </c>
      <c r="B210" s="61" t="n">
        <v>45778</v>
      </c>
      <c r="C210" s="11" t="inlineStr">
        <is>
          <t>Site 02</t>
        </is>
      </c>
      <c r="D210" s="11" t="inlineStr">
        <is>
          <t>Nephrology</t>
        </is>
      </c>
      <c r="E210" s="13" t="n">
        <v>48</v>
      </c>
      <c r="F210" s="13" t="n">
        <v>46</v>
      </c>
      <c r="G210" s="13" t="n">
        <v>356</v>
      </c>
      <c r="H210" s="13" t="n">
        <v>558</v>
      </c>
      <c r="I210" s="14" t="n">
        <v>7.74</v>
      </c>
      <c r="J210" s="62" t="n">
        <v>11</v>
      </c>
      <c r="K210" s="13" t="n">
        <v>42</v>
      </c>
      <c r="L210" s="13" t="n">
        <v>3</v>
      </c>
    </row>
    <row r="211">
      <c r="A211" s="11" t="inlineStr">
        <is>
          <t>HOSP-0210</t>
        </is>
      </c>
      <c r="B211" s="61" t="n">
        <v>45778</v>
      </c>
      <c r="C211" s="11" t="inlineStr">
        <is>
          <t>Site 02</t>
        </is>
      </c>
      <c r="D211" s="11" t="inlineStr">
        <is>
          <t>Paediatrics</t>
        </is>
      </c>
      <c r="E211" s="13" t="n">
        <v>76</v>
      </c>
      <c r="F211" s="13" t="n">
        <v>76</v>
      </c>
      <c r="G211" s="13" t="n">
        <v>238</v>
      </c>
      <c r="H211" s="13" t="n">
        <v>341</v>
      </c>
      <c r="I211" s="14" t="n">
        <v>3.13</v>
      </c>
      <c r="J211" s="62" t="n">
        <v>6.8</v>
      </c>
      <c r="K211" s="13" t="n">
        <v>69</v>
      </c>
      <c r="L211" s="13" t="n">
        <v>3</v>
      </c>
    </row>
    <row r="212">
      <c r="A212" s="11" t="inlineStr">
        <is>
          <t>HOSP-0211</t>
        </is>
      </c>
      <c r="B212" s="61" t="n">
        <v>45778</v>
      </c>
      <c r="C212" s="11" t="inlineStr">
        <is>
          <t>Site 03</t>
        </is>
      </c>
      <c r="D212" s="11" t="inlineStr">
        <is>
          <t>Cardiology</t>
        </is>
      </c>
      <c r="E212" s="13" t="n">
        <v>118</v>
      </c>
      <c r="F212" s="13" t="n">
        <v>120</v>
      </c>
      <c r="G212" s="13" t="n">
        <v>648</v>
      </c>
      <c r="H212" s="13" t="n">
        <v>682</v>
      </c>
      <c r="I212" s="14" t="n">
        <v>5.4</v>
      </c>
      <c r="J212" s="62" t="n">
        <v>10.5</v>
      </c>
      <c r="K212" s="13" t="n">
        <v>105</v>
      </c>
      <c r="L212" s="13" t="n">
        <v>8</v>
      </c>
    </row>
    <row r="213">
      <c r="A213" s="11" t="inlineStr">
        <is>
          <t>HOSP-0212</t>
        </is>
      </c>
      <c r="B213" s="61" t="n">
        <v>45778</v>
      </c>
      <c r="C213" s="11" t="inlineStr">
        <is>
          <t>Site 03</t>
        </is>
      </c>
      <c r="D213" s="11" t="inlineStr">
        <is>
          <t>Orthopaedics</t>
        </is>
      </c>
      <c r="E213" s="13" t="n">
        <v>82</v>
      </c>
      <c r="F213" s="13" t="n">
        <v>84</v>
      </c>
      <c r="G213" s="13" t="n">
        <v>531</v>
      </c>
      <c r="H213" s="13" t="n">
        <v>589</v>
      </c>
      <c r="I213" s="14" t="n">
        <v>6.32</v>
      </c>
      <c r="J213" s="62" t="n">
        <v>13.8</v>
      </c>
      <c r="K213" s="13" t="n">
        <v>75</v>
      </c>
      <c r="L213" s="13" t="n">
        <v>11</v>
      </c>
    </row>
    <row r="214">
      <c r="A214" s="11" t="inlineStr">
        <is>
          <t>HOSP-0213</t>
        </is>
      </c>
      <c r="B214" s="61" t="n">
        <v>45778</v>
      </c>
      <c r="C214" s="11" t="inlineStr">
        <is>
          <t>Site 03</t>
        </is>
      </c>
      <c r="D214" s="11" t="inlineStr">
        <is>
          <t>General Medicine</t>
        </is>
      </c>
      <c r="E214" s="13" t="n">
        <v>157</v>
      </c>
      <c r="F214" s="13" t="n">
        <v>157</v>
      </c>
      <c r="G214" s="13" t="n">
        <v>701</v>
      </c>
      <c r="H214" s="13" t="n">
        <v>744</v>
      </c>
      <c r="I214" s="14" t="n">
        <v>4.46</v>
      </c>
      <c r="J214" s="62" t="n">
        <v>9.9</v>
      </c>
      <c r="K214" s="13" t="n">
        <v>137</v>
      </c>
      <c r="L214" s="13" t="n">
        <v>7</v>
      </c>
    </row>
    <row r="215">
      <c r="A215" s="11" t="inlineStr">
        <is>
          <t>HOSP-0214</t>
        </is>
      </c>
      <c r="B215" s="61" t="n">
        <v>45778</v>
      </c>
      <c r="C215" s="11" t="inlineStr">
        <is>
          <t>Site 03</t>
        </is>
      </c>
      <c r="D215" s="11" t="inlineStr">
        <is>
          <t>Nephrology</t>
        </is>
      </c>
      <c r="E215" s="13" t="n">
        <v>65</v>
      </c>
      <c r="F215" s="13" t="n">
        <v>59</v>
      </c>
      <c r="G215" s="13" t="n">
        <v>431</v>
      </c>
      <c r="H215" s="13" t="n">
        <v>558</v>
      </c>
      <c r="I215" s="14" t="n">
        <v>7.31</v>
      </c>
      <c r="J215" s="62" t="n">
        <v>10.5</v>
      </c>
      <c r="K215" s="13" t="n">
        <v>53</v>
      </c>
      <c r="L215" s="13" t="n">
        <v>5</v>
      </c>
    </row>
    <row r="216">
      <c r="A216" s="11" t="inlineStr">
        <is>
          <t>HOSP-0215</t>
        </is>
      </c>
      <c r="B216" s="61" t="n">
        <v>45778</v>
      </c>
      <c r="C216" s="11" t="inlineStr">
        <is>
          <t>Site 03</t>
        </is>
      </c>
      <c r="D216" s="11" t="inlineStr">
        <is>
          <t>Paediatrics</t>
        </is>
      </c>
      <c r="E216" s="13" t="n">
        <v>90</v>
      </c>
      <c r="F216" s="13" t="n">
        <v>92</v>
      </c>
      <c r="G216" s="13" t="n">
        <v>274</v>
      </c>
      <c r="H216" s="13" t="n">
        <v>341</v>
      </c>
      <c r="I216" s="14" t="n">
        <v>2.98</v>
      </c>
      <c r="J216" s="62" t="n">
        <v>5.9</v>
      </c>
      <c r="K216" s="13" t="n">
        <v>80</v>
      </c>
      <c r="L216" s="13" t="n">
        <v>6</v>
      </c>
    </row>
    <row r="217">
      <c r="A217" s="11" t="inlineStr">
        <is>
          <t>HOSP-0216</t>
        </is>
      </c>
      <c r="B217" s="61" t="n">
        <v>45778</v>
      </c>
      <c r="C217" s="11" t="inlineStr">
        <is>
          <t>Site 04</t>
        </is>
      </c>
      <c r="D217" s="11" t="inlineStr">
        <is>
          <t>Cardiology</t>
        </is>
      </c>
      <c r="E217" s="13" t="n">
        <v>109</v>
      </c>
      <c r="F217" s="13" t="n">
        <v>114</v>
      </c>
      <c r="G217" s="13" t="n">
        <v>624</v>
      </c>
      <c r="H217" s="13" t="n">
        <v>682</v>
      </c>
      <c r="I217" s="14" t="n">
        <v>5.47</v>
      </c>
      <c r="J217" s="62" t="n">
        <v>9.9</v>
      </c>
      <c r="K217" s="13" t="n">
        <v>106</v>
      </c>
      <c r="L217" s="13" t="n">
        <v>7</v>
      </c>
    </row>
    <row r="218">
      <c r="A218" s="11" t="inlineStr">
        <is>
          <t>HOSP-0217</t>
        </is>
      </c>
      <c r="B218" s="61" t="n">
        <v>45778</v>
      </c>
      <c r="C218" s="11" t="inlineStr">
        <is>
          <t>Site 04</t>
        </is>
      </c>
      <c r="D218" s="11" t="inlineStr">
        <is>
          <t>Orthopaedics</t>
        </is>
      </c>
      <c r="E218" s="13" t="n">
        <v>62</v>
      </c>
      <c r="F218" s="13" t="n">
        <v>65</v>
      </c>
      <c r="G218" s="13" t="n">
        <v>353</v>
      </c>
      <c r="H218" s="13" t="n">
        <v>589</v>
      </c>
      <c r="I218" s="14" t="n">
        <v>5.43</v>
      </c>
      <c r="J218" s="62" t="n">
        <v>10.2</v>
      </c>
      <c r="K218" s="13" t="n">
        <v>57</v>
      </c>
      <c r="L218" s="13" t="n">
        <v>9</v>
      </c>
    </row>
    <row r="219">
      <c r="A219" s="11" t="inlineStr">
        <is>
          <t>HOSP-0218</t>
        </is>
      </c>
      <c r="B219" s="61" t="n">
        <v>45778</v>
      </c>
      <c r="C219" s="11" t="inlineStr">
        <is>
          <t>Site 04</t>
        </is>
      </c>
      <c r="D219" s="11" t="inlineStr">
        <is>
          <t>General Medicine</t>
        </is>
      </c>
      <c r="E219" s="13" t="n">
        <v>152</v>
      </c>
      <c r="F219" s="13" t="n">
        <v>147</v>
      </c>
      <c r="G219" s="13" t="n">
        <v>634</v>
      </c>
      <c r="H219" s="13" t="n">
        <v>744</v>
      </c>
      <c r="I219" s="14" t="n">
        <v>4.31</v>
      </c>
      <c r="J219" s="62" t="n">
        <v>8.4</v>
      </c>
      <c r="K219" s="13" t="n">
        <v>138</v>
      </c>
      <c r="L219" s="13" t="n">
        <v>7</v>
      </c>
    </row>
    <row r="220">
      <c r="A220" s="11" t="inlineStr">
        <is>
          <t>HOSP-0219</t>
        </is>
      </c>
      <c r="B220" s="61" t="n">
        <v>45778</v>
      </c>
      <c r="C220" s="11" t="inlineStr">
        <is>
          <t>Site 04</t>
        </is>
      </c>
      <c r="D220" s="11" t="inlineStr">
        <is>
          <t>Nephrology</t>
        </is>
      </c>
      <c r="E220" s="13" t="n">
        <v>58</v>
      </c>
      <c r="F220" s="13" t="n">
        <v>52</v>
      </c>
      <c r="G220" s="13" t="n">
        <v>392</v>
      </c>
      <c r="H220" s="13" t="n">
        <v>558</v>
      </c>
      <c r="I220" s="14" t="n">
        <v>7.54</v>
      </c>
      <c r="J220" s="62" t="n">
        <v>13.3</v>
      </c>
      <c r="K220" s="13" t="n">
        <v>48</v>
      </c>
      <c r="L220" s="13" t="n">
        <v>4</v>
      </c>
    </row>
    <row r="221">
      <c r="A221" s="11" t="inlineStr">
        <is>
          <t>HOSP-0220</t>
        </is>
      </c>
      <c r="B221" s="61" t="n">
        <v>45778</v>
      </c>
      <c r="C221" s="11" t="inlineStr">
        <is>
          <t>Site 04</t>
        </is>
      </c>
      <c r="D221" s="11" t="inlineStr">
        <is>
          <t>Paediatrics</t>
        </is>
      </c>
      <c r="E221" s="13" t="n">
        <v>80</v>
      </c>
      <c r="F221" s="13" t="n">
        <v>78</v>
      </c>
      <c r="G221" s="13" t="n">
        <v>225</v>
      </c>
      <c r="H221" s="13" t="n">
        <v>341</v>
      </c>
      <c r="I221" s="14" t="n">
        <v>2.88</v>
      </c>
      <c r="J221" s="62" t="n">
        <v>6.6</v>
      </c>
      <c r="K221" s="13" t="n">
        <v>70</v>
      </c>
      <c r="L221" s="13" t="n">
        <v>3</v>
      </c>
    </row>
    <row r="222">
      <c r="A222" s="11" t="inlineStr">
        <is>
          <t>HOSP-0221</t>
        </is>
      </c>
      <c r="B222" s="61" t="n">
        <v>45778</v>
      </c>
      <c r="C222" s="11" t="inlineStr">
        <is>
          <t>Site 05</t>
        </is>
      </c>
      <c r="D222" s="11" t="inlineStr">
        <is>
          <t>Cardiology</t>
        </is>
      </c>
      <c r="E222" s="13" t="n">
        <v>89</v>
      </c>
      <c r="F222" s="13" t="n">
        <v>91</v>
      </c>
      <c r="G222" s="13" t="n">
        <v>491</v>
      </c>
      <c r="H222" s="13" t="n">
        <v>682</v>
      </c>
      <c r="I222" s="14" t="n">
        <v>5.4</v>
      </c>
      <c r="J222" s="62" t="n">
        <v>12.5</v>
      </c>
      <c r="K222" s="13" t="n">
        <v>85</v>
      </c>
      <c r="L222" s="13" t="n">
        <v>6</v>
      </c>
    </row>
    <row r="223">
      <c r="A223" s="11" t="inlineStr">
        <is>
          <t>HOSP-0222</t>
        </is>
      </c>
      <c r="B223" s="61" t="n">
        <v>45778</v>
      </c>
      <c r="C223" s="11" t="inlineStr">
        <is>
          <t>Site 05</t>
        </is>
      </c>
      <c r="D223" s="11" t="inlineStr">
        <is>
          <t>Orthopaedics</t>
        </is>
      </c>
      <c r="E223" s="13" t="n">
        <v>71</v>
      </c>
      <c r="F223" s="13" t="n">
        <v>69</v>
      </c>
      <c r="G223" s="13" t="n">
        <v>407</v>
      </c>
      <c r="H223" s="13" t="n">
        <v>589</v>
      </c>
      <c r="I223" s="14" t="n">
        <v>5.9</v>
      </c>
      <c r="J223" s="62" t="n">
        <v>15.8</v>
      </c>
      <c r="K223" s="13" t="n">
        <v>63</v>
      </c>
      <c r="L223" s="13" t="n">
        <v>8</v>
      </c>
    </row>
    <row r="224">
      <c r="A224" s="11" t="inlineStr">
        <is>
          <t>HOSP-0223</t>
        </is>
      </c>
      <c r="B224" s="61" t="n">
        <v>45778</v>
      </c>
      <c r="C224" s="11" t="inlineStr">
        <is>
          <t>Site 05</t>
        </is>
      </c>
      <c r="D224" s="11" t="inlineStr">
        <is>
          <t>General Medicine</t>
        </is>
      </c>
      <c r="E224" s="13" t="n">
        <v>110</v>
      </c>
      <c r="F224" s="13" t="n">
        <v>113</v>
      </c>
      <c r="G224" s="13" t="n">
        <v>410</v>
      </c>
      <c r="H224" s="13" t="n">
        <v>744</v>
      </c>
      <c r="I224" s="14" t="n">
        <v>3.63</v>
      </c>
      <c r="J224" s="62" t="n">
        <v>8.9</v>
      </c>
      <c r="K224" s="13" t="n">
        <v>102</v>
      </c>
      <c r="L224" s="13" t="n">
        <v>5</v>
      </c>
    </row>
    <row r="225">
      <c r="A225" s="11" t="inlineStr">
        <is>
          <t>HOSP-0224</t>
        </is>
      </c>
      <c r="B225" s="61" t="n">
        <v>45778</v>
      </c>
      <c r="C225" s="11" t="inlineStr">
        <is>
          <t>Site 05</t>
        </is>
      </c>
      <c r="D225" s="11" t="inlineStr">
        <is>
          <t>Nephrology</t>
        </is>
      </c>
      <c r="E225" s="13" t="n">
        <v>47</v>
      </c>
      <c r="F225" s="13" t="n">
        <v>46</v>
      </c>
      <c r="G225" s="13" t="n">
        <v>343</v>
      </c>
      <c r="H225" s="13" t="n">
        <v>558</v>
      </c>
      <c r="I225" s="14" t="n">
        <v>7.46</v>
      </c>
      <c r="J225" s="62" t="n">
        <v>11.6</v>
      </c>
      <c r="K225" s="13" t="n">
        <v>41</v>
      </c>
      <c r="L225" s="13" t="n">
        <v>4</v>
      </c>
    </row>
    <row r="226">
      <c r="A226" s="11" t="inlineStr">
        <is>
          <t>HOSP-0225</t>
        </is>
      </c>
      <c r="B226" s="61" t="n">
        <v>45778</v>
      </c>
      <c r="C226" s="11" t="inlineStr">
        <is>
          <t>Site 05</t>
        </is>
      </c>
      <c r="D226" s="11" t="inlineStr">
        <is>
          <t>Paediatrics</t>
        </is>
      </c>
      <c r="E226" s="13" t="n">
        <v>80</v>
      </c>
      <c r="F226" s="13" t="n">
        <v>77</v>
      </c>
      <c r="G226" s="13" t="n">
        <v>253</v>
      </c>
      <c r="H226" s="13" t="n">
        <v>341</v>
      </c>
      <c r="I226" s="14" t="n">
        <v>3.29</v>
      </c>
      <c r="J226" s="62" t="n">
        <v>6.6</v>
      </c>
      <c r="K226" s="13" t="n">
        <v>68</v>
      </c>
      <c r="L226" s="13" t="n">
        <v>3</v>
      </c>
    </row>
    <row r="227">
      <c r="A227" s="11" t="inlineStr">
        <is>
          <t>HOSP-0226</t>
        </is>
      </c>
      <c r="B227" s="61" t="n">
        <v>45778</v>
      </c>
      <c r="C227" s="11" t="inlineStr">
        <is>
          <t>Site 06</t>
        </is>
      </c>
      <c r="D227" s="11" t="inlineStr">
        <is>
          <t>Cardiology</t>
        </is>
      </c>
      <c r="E227" s="13" t="n">
        <v>115</v>
      </c>
      <c r="F227" s="13" t="n">
        <v>111</v>
      </c>
      <c r="G227" s="13" t="n">
        <v>573</v>
      </c>
      <c r="H227" s="13" t="n">
        <v>682</v>
      </c>
      <c r="I227" s="14" t="n">
        <v>5.16</v>
      </c>
      <c r="J227" s="62" t="n">
        <v>9.4</v>
      </c>
      <c r="K227" s="13" t="n">
        <v>104</v>
      </c>
      <c r="L227" s="13" t="n">
        <v>9</v>
      </c>
    </row>
    <row r="228">
      <c r="A228" s="11" t="inlineStr">
        <is>
          <t>HOSP-0227</t>
        </is>
      </c>
      <c r="B228" s="61" t="n">
        <v>45778</v>
      </c>
      <c r="C228" s="11" t="inlineStr">
        <is>
          <t>Site 06</t>
        </is>
      </c>
      <c r="D228" s="11" t="inlineStr">
        <is>
          <t>Orthopaedics</t>
        </is>
      </c>
      <c r="E228" s="13" t="n">
        <v>86</v>
      </c>
      <c r="F228" s="13" t="n">
        <v>92</v>
      </c>
      <c r="G228" s="13" t="n">
        <v>565</v>
      </c>
      <c r="H228" s="13" t="n">
        <v>589</v>
      </c>
      <c r="I228" s="14" t="n">
        <v>6.14</v>
      </c>
      <c r="J228" s="62" t="n">
        <v>14.6</v>
      </c>
      <c r="K228" s="13" t="n">
        <v>83</v>
      </c>
      <c r="L228" s="13" t="n">
        <v>11</v>
      </c>
    </row>
    <row r="229">
      <c r="A229" s="11" t="inlineStr">
        <is>
          <t>HOSP-0228</t>
        </is>
      </c>
      <c r="B229" s="61" t="n">
        <v>45778</v>
      </c>
      <c r="C229" s="11" t="inlineStr">
        <is>
          <t>Site 06</t>
        </is>
      </c>
      <c r="D229" s="11" t="inlineStr">
        <is>
          <t>General Medicine</t>
        </is>
      </c>
      <c r="E229" s="13" t="n">
        <v>158</v>
      </c>
      <c r="F229" s="13" t="n">
        <v>152</v>
      </c>
      <c r="G229" s="13" t="n">
        <v>667</v>
      </c>
      <c r="H229" s="13" t="n">
        <v>744</v>
      </c>
      <c r="I229" s="14" t="n">
        <v>4.39</v>
      </c>
      <c r="J229" s="62" t="n">
        <v>8.300000000000001</v>
      </c>
      <c r="K229" s="13" t="n">
        <v>131</v>
      </c>
      <c r="L229" s="13" t="n">
        <v>10</v>
      </c>
    </row>
    <row r="230">
      <c r="A230" s="11" t="inlineStr">
        <is>
          <t>HOSP-0229</t>
        </is>
      </c>
      <c r="B230" s="61" t="n">
        <v>45778</v>
      </c>
      <c r="C230" s="11" t="inlineStr">
        <is>
          <t>Site 06</t>
        </is>
      </c>
      <c r="D230" s="11" t="inlineStr">
        <is>
          <t>Nephrology</t>
        </is>
      </c>
      <c r="E230" s="13" t="n">
        <v>51</v>
      </c>
      <c r="F230" s="13" t="n">
        <v>48</v>
      </c>
      <c r="G230" s="13" t="n">
        <v>392</v>
      </c>
      <c r="H230" s="13" t="n">
        <v>558</v>
      </c>
      <c r="I230" s="14" t="n">
        <v>8.17</v>
      </c>
      <c r="J230" s="62" t="n">
        <v>12.6</v>
      </c>
      <c r="K230" s="13" t="n">
        <v>44</v>
      </c>
      <c r="L230" s="13" t="n">
        <v>3</v>
      </c>
    </row>
    <row r="231">
      <c r="A231" s="11" t="inlineStr">
        <is>
          <t>HOSP-0230</t>
        </is>
      </c>
      <c r="B231" s="61" t="n">
        <v>45778</v>
      </c>
      <c r="C231" s="11" t="inlineStr">
        <is>
          <t>Site 06</t>
        </is>
      </c>
      <c r="D231" s="11" t="inlineStr">
        <is>
          <t>Paediatrics</t>
        </is>
      </c>
      <c r="E231" s="13" t="n">
        <v>93</v>
      </c>
      <c r="F231" s="13" t="n">
        <v>93</v>
      </c>
      <c r="G231" s="13" t="n">
        <v>323</v>
      </c>
      <c r="H231" s="13" t="n">
        <v>341</v>
      </c>
      <c r="I231" s="14" t="n">
        <v>3.47</v>
      </c>
      <c r="J231" s="62" t="n">
        <v>7.1</v>
      </c>
      <c r="K231" s="13" t="n">
        <v>82</v>
      </c>
      <c r="L231" s="13" t="n">
        <v>4</v>
      </c>
    </row>
    <row r="232">
      <c r="A232" s="11" t="inlineStr">
        <is>
          <t>HOSP-0231</t>
        </is>
      </c>
      <c r="B232" s="61" t="n">
        <v>45778</v>
      </c>
      <c r="C232" s="11" t="inlineStr">
        <is>
          <t>Site 07</t>
        </is>
      </c>
      <c r="D232" s="11" t="inlineStr">
        <is>
          <t>Cardiology</t>
        </is>
      </c>
      <c r="E232" s="13" t="n">
        <v>106</v>
      </c>
      <c r="F232" s="13" t="n">
        <v>101</v>
      </c>
      <c r="G232" s="13" t="n">
        <v>533</v>
      </c>
      <c r="H232" s="13" t="n">
        <v>682</v>
      </c>
      <c r="I232" s="14" t="n">
        <v>5.28</v>
      </c>
      <c r="J232" s="62" t="n">
        <v>11.6</v>
      </c>
      <c r="K232" s="13" t="n">
        <v>95</v>
      </c>
      <c r="L232" s="13" t="n">
        <v>7</v>
      </c>
    </row>
    <row r="233">
      <c r="A233" s="11" t="inlineStr">
        <is>
          <t>HOSP-0232</t>
        </is>
      </c>
      <c r="B233" s="61" t="n">
        <v>45778</v>
      </c>
      <c r="C233" s="11" t="inlineStr">
        <is>
          <t>Site 07</t>
        </is>
      </c>
      <c r="D233" s="11" t="inlineStr">
        <is>
          <t>Orthopaedics</t>
        </is>
      </c>
      <c r="E233" s="13" t="n">
        <v>71</v>
      </c>
      <c r="F233" s="13" t="n">
        <v>71</v>
      </c>
      <c r="G233" s="13" t="n">
        <v>408</v>
      </c>
      <c r="H233" s="13" t="n">
        <v>589</v>
      </c>
      <c r="I233" s="14" t="n">
        <v>5.75</v>
      </c>
      <c r="J233" s="62" t="n">
        <v>14.1</v>
      </c>
      <c r="K233" s="13" t="n">
        <v>63</v>
      </c>
      <c r="L233" s="13" t="n">
        <v>4</v>
      </c>
    </row>
    <row r="234">
      <c r="A234" s="11" t="inlineStr">
        <is>
          <t>HOSP-0233</t>
        </is>
      </c>
      <c r="B234" s="61" t="n">
        <v>45778</v>
      </c>
      <c r="C234" s="11" t="inlineStr">
        <is>
          <t>Site 07</t>
        </is>
      </c>
      <c r="D234" s="11" t="inlineStr">
        <is>
          <t>General Medicine</t>
        </is>
      </c>
      <c r="E234" s="13" t="n">
        <v>162</v>
      </c>
      <c r="F234" s="13" t="n">
        <v>162</v>
      </c>
      <c r="G234" s="13" t="n">
        <v>638</v>
      </c>
      <c r="H234" s="13" t="n">
        <v>744</v>
      </c>
      <c r="I234" s="14" t="n">
        <v>3.94</v>
      </c>
      <c r="J234" s="62" t="n">
        <v>5.6</v>
      </c>
      <c r="K234" s="13" t="n">
        <v>147</v>
      </c>
      <c r="L234" s="13" t="n">
        <v>11</v>
      </c>
    </row>
    <row r="235">
      <c r="A235" s="11" t="inlineStr">
        <is>
          <t>HOSP-0234</t>
        </is>
      </c>
      <c r="B235" s="61" t="n">
        <v>45778</v>
      </c>
      <c r="C235" s="11" t="inlineStr">
        <is>
          <t>Site 07</t>
        </is>
      </c>
      <c r="D235" s="11" t="inlineStr">
        <is>
          <t>Nephrology</t>
        </is>
      </c>
      <c r="E235" s="13" t="n">
        <v>46</v>
      </c>
      <c r="F235" s="13" t="n">
        <v>46</v>
      </c>
      <c r="G235" s="13" t="n">
        <v>351</v>
      </c>
      <c r="H235" s="13" t="n">
        <v>558</v>
      </c>
      <c r="I235" s="14" t="n">
        <v>7.63</v>
      </c>
      <c r="J235" s="62" t="n">
        <v>10.7</v>
      </c>
      <c r="K235" s="13" t="n">
        <v>42</v>
      </c>
      <c r="L235" s="13" t="n">
        <v>3</v>
      </c>
    </row>
    <row r="236">
      <c r="A236" s="11" t="inlineStr">
        <is>
          <t>HOSP-0235</t>
        </is>
      </c>
      <c r="B236" s="61" t="n">
        <v>45778</v>
      </c>
      <c r="C236" s="11" t="inlineStr">
        <is>
          <t>Site 07</t>
        </is>
      </c>
      <c r="D236" s="11" t="inlineStr">
        <is>
          <t>Paediatrics</t>
        </is>
      </c>
      <c r="E236" s="13" t="n">
        <v>90</v>
      </c>
      <c r="F236" s="13" t="n">
        <v>93</v>
      </c>
      <c r="G236" s="13" t="n">
        <v>320</v>
      </c>
      <c r="H236" s="13" t="n">
        <v>341</v>
      </c>
      <c r="I236" s="14" t="n">
        <v>3.44</v>
      </c>
      <c r="J236" s="62" t="n">
        <v>6.3</v>
      </c>
      <c r="K236" s="13" t="n">
        <v>84</v>
      </c>
      <c r="L236" s="13" t="n">
        <v>3</v>
      </c>
    </row>
    <row r="237">
      <c r="A237" s="11" t="inlineStr">
        <is>
          <t>HOSP-0236</t>
        </is>
      </c>
      <c r="B237" s="61" t="n">
        <v>45778</v>
      </c>
      <c r="C237" s="11" t="inlineStr">
        <is>
          <t>Site 08</t>
        </is>
      </c>
      <c r="D237" s="11" t="inlineStr">
        <is>
          <t>Cardiology</t>
        </is>
      </c>
      <c r="E237" s="13" t="n">
        <v>119</v>
      </c>
      <c r="F237" s="13" t="n">
        <v>116</v>
      </c>
      <c r="G237" s="13" t="n">
        <v>576</v>
      </c>
      <c r="H237" s="13" t="n">
        <v>682</v>
      </c>
      <c r="I237" s="14" t="n">
        <v>4.97</v>
      </c>
      <c r="J237" s="62" t="n">
        <v>9.800000000000001</v>
      </c>
      <c r="K237" s="13" t="n">
        <v>103</v>
      </c>
      <c r="L237" s="13" t="n">
        <v>6</v>
      </c>
    </row>
    <row r="238">
      <c r="A238" s="11" t="inlineStr">
        <is>
          <t>HOSP-0237</t>
        </is>
      </c>
      <c r="B238" s="61" t="n">
        <v>45778</v>
      </c>
      <c r="C238" s="11" t="inlineStr">
        <is>
          <t>Site 08</t>
        </is>
      </c>
      <c r="D238" s="11" t="inlineStr">
        <is>
          <t>Orthopaedics</t>
        </is>
      </c>
      <c r="E238" s="13" t="n">
        <v>79</v>
      </c>
      <c r="F238" s="13" t="n">
        <v>80</v>
      </c>
      <c r="G238" s="13" t="n">
        <v>497</v>
      </c>
      <c r="H238" s="13" t="n">
        <v>589</v>
      </c>
      <c r="I238" s="14" t="n">
        <v>6.21</v>
      </c>
      <c r="J238" s="62" t="n">
        <v>11.3</v>
      </c>
      <c r="K238" s="13" t="n">
        <v>70</v>
      </c>
      <c r="L238" s="13" t="n">
        <v>10</v>
      </c>
    </row>
    <row r="239">
      <c r="A239" s="11" t="inlineStr">
        <is>
          <t>HOSP-0238</t>
        </is>
      </c>
      <c r="B239" s="61" t="n">
        <v>45778</v>
      </c>
      <c r="C239" s="11" t="inlineStr">
        <is>
          <t>Site 08</t>
        </is>
      </c>
      <c r="D239" s="11" t="inlineStr">
        <is>
          <t>General Medicine</t>
        </is>
      </c>
      <c r="E239" s="13" t="n">
        <v>136</v>
      </c>
      <c r="F239" s="13" t="n">
        <v>136</v>
      </c>
      <c r="G239" s="13" t="n">
        <v>509</v>
      </c>
      <c r="H239" s="13" t="n">
        <v>744</v>
      </c>
      <c r="I239" s="14" t="n">
        <v>3.74</v>
      </c>
      <c r="J239" s="62" t="n">
        <v>8.800000000000001</v>
      </c>
      <c r="K239" s="13" t="n">
        <v>121</v>
      </c>
      <c r="L239" s="13" t="n">
        <v>8</v>
      </c>
    </row>
    <row r="240">
      <c r="A240" s="11" t="inlineStr">
        <is>
          <t>HOSP-0239</t>
        </is>
      </c>
      <c r="B240" s="61" t="n">
        <v>45778</v>
      </c>
      <c r="C240" s="11" t="inlineStr">
        <is>
          <t>Site 08</t>
        </is>
      </c>
      <c r="D240" s="11" t="inlineStr">
        <is>
          <t>Nephrology</t>
        </is>
      </c>
      <c r="E240" s="13" t="n">
        <v>65</v>
      </c>
      <c r="F240" s="13" t="n">
        <v>62</v>
      </c>
      <c r="G240" s="13" t="n">
        <v>503</v>
      </c>
      <c r="H240" s="13" t="n">
        <v>558</v>
      </c>
      <c r="I240" s="14" t="n">
        <v>8.109999999999999</v>
      </c>
      <c r="J240" s="62" t="n">
        <v>16.6</v>
      </c>
      <c r="K240" s="13" t="n">
        <v>56</v>
      </c>
      <c r="L240" s="13" t="n">
        <v>4</v>
      </c>
    </row>
    <row r="241">
      <c r="A241" s="11" t="inlineStr">
        <is>
          <t>HOSP-0240</t>
        </is>
      </c>
      <c r="B241" s="61" t="n">
        <v>45778</v>
      </c>
      <c r="C241" s="11" t="inlineStr">
        <is>
          <t>Site 08</t>
        </is>
      </c>
      <c r="D241" s="11" t="inlineStr">
        <is>
          <t>Paediatrics</t>
        </is>
      </c>
      <c r="E241" s="13" t="n">
        <v>91</v>
      </c>
      <c r="F241" s="13" t="n">
        <v>86</v>
      </c>
      <c r="G241" s="13" t="n">
        <v>274</v>
      </c>
      <c r="H241" s="13" t="n">
        <v>341</v>
      </c>
      <c r="I241" s="14" t="n">
        <v>3.19</v>
      </c>
      <c r="J241" s="62" t="n">
        <v>6.1</v>
      </c>
      <c r="K241" s="13" t="n">
        <v>81</v>
      </c>
      <c r="L241" s="13" t="n">
        <v>6</v>
      </c>
    </row>
    <row r="242">
      <c r="A242" s="11" t="inlineStr">
        <is>
          <t>HOSP-0241</t>
        </is>
      </c>
      <c r="B242" s="61" t="n">
        <v>45778</v>
      </c>
      <c r="C242" s="11" t="inlineStr">
        <is>
          <t>Site 09</t>
        </is>
      </c>
      <c r="D242" s="11" t="inlineStr">
        <is>
          <t>Cardiology</t>
        </is>
      </c>
      <c r="E242" s="13" t="n">
        <v>92</v>
      </c>
      <c r="F242" s="13" t="n">
        <v>88</v>
      </c>
      <c r="G242" s="13" t="n">
        <v>483</v>
      </c>
      <c r="H242" s="13" t="n">
        <v>682</v>
      </c>
      <c r="I242" s="14" t="n">
        <v>5.49</v>
      </c>
      <c r="J242" s="62" t="n">
        <v>10.4</v>
      </c>
      <c r="K242" s="13" t="n">
        <v>76</v>
      </c>
      <c r="L242" s="13" t="n">
        <v>7</v>
      </c>
    </row>
    <row r="243">
      <c r="A243" s="11" t="inlineStr">
        <is>
          <t>HOSP-0242</t>
        </is>
      </c>
      <c r="B243" s="61" t="n">
        <v>45778</v>
      </c>
      <c r="C243" s="11" t="inlineStr">
        <is>
          <t>Site 09</t>
        </is>
      </c>
      <c r="D243" s="11" t="inlineStr">
        <is>
          <t>Orthopaedics</t>
        </is>
      </c>
      <c r="E243" s="13" t="n">
        <v>58</v>
      </c>
      <c r="F243" s="13" t="n">
        <v>61</v>
      </c>
      <c r="G243" s="13" t="n">
        <v>380</v>
      </c>
      <c r="H243" s="13" t="n">
        <v>589</v>
      </c>
      <c r="I243" s="14" t="n">
        <v>6.23</v>
      </c>
      <c r="J243" s="62" t="n">
        <v>17.2</v>
      </c>
      <c r="K243" s="13" t="n">
        <v>53</v>
      </c>
      <c r="L243" s="13" t="n">
        <v>6</v>
      </c>
    </row>
    <row r="244">
      <c r="A244" s="11" t="inlineStr">
        <is>
          <t>HOSP-0243</t>
        </is>
      </c>
      <c r="B244" s="61" t="n">
        <v>45778</v>
      </c>
      <c r="C244" s="11" t="inlineStr">
        <is>
          <t>Site 09</t>
        </is>
      </c>
      <c r="D244" s="11" t="inlineStr">
        <is>
          <t>General Medicine</t>
        </is>
      </c>
      <c r="E244" s="13" t="n">
        <v>123</v>
      </c>
      <c r="F244" s="13" t="n">
        <v>128</v>
      </c>
      <c r="G244" s="13" t="n">
        <v>504</v>
      </c>
      <c r="H244" s="13" t="n">
        <v>744</v>
      </c>
      <c r="I244" s="14" t="n">
        <v>3.94</v>
      </c>
      <c r="J244" s="62" t="n">
        <v>7.6</v>
      </c>
      <c r="K244" s="13" t="n">
        <v>111</v>
      </c>
      <c r="L244" s="13" t="n">
        <v>5</v>
      </c>
    </row>
    <row r="245">
      <c r="A245" s="11" t="inlineStr">
        <is>
          <t>HOSP-0244</t>
        </is>
      </c>
      <c r="B245" s="61" t="n">
        <v>45778</v>
      </c>
      <c r="C245" s="11" t="inlineStr">
        <is>
          <t>Site 09</t>
        </is>
      </c>
      <c r="D245" s="11" t="inlineStr">
        <is>
          <t>Nephrology</t>
        </is>
      </c>
      <c r="E245" s="13" t="n">
        <v>50</v>
      </c>
      <c r="F245" s="13" t="n">
        <v>51</v>
      </c>
      <c r="G245" s="13" t="n">
        <v>389</v>
      </c>
      <c r="H245" s="13" t="n">
        <v>558</v>
      </c>
      <c r="I245" s="14" t="n">
        <v>7.63</v>
      </c>
      <c r="J245" s="62" t="n">
        <v>13.1</v>
      </c>
      <c r="K245" s="13" t="n">
        <v>48</v>
      </c>
      <c r="L245" s="13" t="n">
        <v>5</v>
      </c>
    </row>
    <row r="246">
      <c r="A246" s="11" t="inlineStr">
        <is>
          <t>HOSP-0245</t>
        </is>
      </c>
      <c r="B246" s="61" t="n">
        <v>45778</v>
      </c>
      <c r="C246" s="11" t="inlineStr">
        <is>
          <t>Site 09</t>
        </is>
      </c>
      <c r="D246" s="11" t="inlineStr">
        <is>
          <t>Paediatrics</t>
        </is>
      </c>
      <c r="E246" s="13" t="n">
        <v>79</v>
      </c>
      <c r="F246" s="13" t="n">
        <v>74</v>
      </c>
      <c r="G246" s="13" t="n">
        <v>209</v>
      </c>
      <c r="H246" s="13" t="n">
        <v>341</v>
      </c>
      <c r="I246" s="14" t="n">
        <v>2.82</v>
      </c>
      <c r="J246" s="62" t="n">
        <v>7.1</v>
      </c>
      <c r="K246" s="13" t="n">
        <v>69</v>
      </c>
      <c r="L246" s="13" t="n">
        <v>2</v>
      </c>
    </row>
    <row r="247">
      <c r="A247" s="11" t="inlineStr">
        <is>
          <t>HOSP-0246</t>
        </is>
      </c>
      <c r="B247" s="61" t="n">
        <v>45778</v>
      </c>
      <c r="C247" s="11" t="inlineStr">
        <is>
          <t>Site 10</t>
        </is>
      </c>
      <c r="D247" s="11" t="inlineStr">
        <is>
          <t>Cardiology</t>
        </is>
      </c>
      <c r="E247" s="13" t="n">
        <v>99</v>
      </c>
      <c r="F247" s="13" t="n">
        <v>102</v>
      </c>
      <c r="G247" s="13" t="n">
        <v>542</v>
      </c>
      <c r="H247" s="13" t="n">
        <v>682</v>
      </c>
      <c r="I247" s="14" t="n">
        <v>5.31</v>
      </c>
      <c r="J247" s="62" t="n">
        <v>11.2</v>
      </c>
      <c r="K247" s="13" t="n">
        <v>92</v>
      </c>
      <c r="L247" s="13" t="n">
        <v>8</v>
      </c>
    </row>
    <row r="248">
      <c r="A248" s="11" t="inlineStr">
        <is>
          <t>HOSP-0247</t>
        </is>
      </c>
      <c r="B248" s="61" t="n">
        <v>45778</v>
      </c>
      <c r="C248" s="11" t="inlineStr">
        <is>
          <t>Site 10</t>
        </is>
      </c>
      <c r="D248" s="11" t="inlineStr">
        <is>
          <t>Orthopaedics</t>
        </is>
      </c>
      <c r="E248" s="13" t="n">
        <v>78</v>
      </c>
      <c r="F248" s="13" t="n">
        <v>77</v>
      </c>
      <c r="G248" s="13" t="n">
        <v>389</v>
      </c>
      <c r="H248" s="13" t="n">
        <v>589</v>
      </c>
      <c r="I248" s="14" t="n">
        <v>5.05</v>
      </c>
      <c r="J248" s="62" t="n">
        <v>13.5</v>
      </c>
      <c r="K248" s="13" t="n">
        <v>69</v>
      </c>
      <c r="L248" s="13" t="n">
        <v>6</v>
      </c>
    </row>
    <row r="249">
      <c r="A249" s="11" t="inlineStr">
        <is>
          <t>HOSP-0248</t>
        </is>
      </c>
      <c r="B249" s="61" t="n">
        <v>45778</v>
      </c>
      <c r="C249" s="11" t="inlineStr">
        <is>
          <t>Site 10</t>
        </is>
      </c>
      <c r="D249" s="11" t="inlineStr">
        <is>
          <t>General Medicine</t>
        </is>
      </c>
      <c r="E249" s="13" t="n">
        <v>143</v>
      </c>
      <c r="F249" s="13" t="n">
        <v>146</v>
      </c>
      <c r="G249" s="13" t="n">
        <v>628</v>
      </c>
      <c r="H249" s="13" t="n">
        <v>744</v>
      </c>
      <c r="I249" s="14" t="n">
        <v>4.3</v>
      </c>
      <c r="J249" s="62" t="n">
        <v>7</v>
      </c>
      <c r="K249" s="13" t="n">
        <v>135</v>
      </c>
      <c r="L249" s="13" t="n">
        <v>7</v>
      </c>
    </row>
    <row r="250">
      <c r="A250" s="11" t="inlineStr">
        <is>
          <t>HOSP-0249</t>
        </is>
      </c>
      <c r="B250" s="61" t="n">
        <v>45778</v>
      </c>
      <c r="C250" s="11" t="inlineStr">
        <is>
          <t>Site 10</t>
        </is>
      </c>
      <c r="D250" s="11" t="inlineStr">
        <is>
          <t>Nephrology</t>
        </is>
      </c>
      <c r="E250" s="13" t="n">
        <v>50</v>
      </c>
      <c r="F250" s="13" t="n">
        <v>54</v>
      </c>
      <c r="G250" s="13" t="n">
        <v>407</v>
      </c>
      <c r="H250" s="13" t="n">
        <v>558</v>
      </c>
      <c r="I250" s="14" t="n">
        <v>7.54</v>
      </c>
      <c r="J250" s="62" t="n">
        <v>13.2</v>
      </c>
      <c r="K250" s="13" t="n">
        <v>47</v>
      </c>
      <c r="L250" s="13" t="n">
        <v>6</v>
      </c>
    </row>
    <row r="251">
      <c r="A251" s="11" t="inlineStr">
        <is>
          <t>HOSP-0250</t>
        </is>
      </c>
      <c r="B251" s="61" t="n">
        <v>45778</v>
      </c>
      <c r="C251" s="11" t="inlineStr">
        <is>
          <t>Site 10</t>
        </is>
      </c>
      <c r="D251" s="11" t="inlineStr">
        <is>
          <t>Paediatrics</t>
        </is>
      </c>
      <c r="E251" s="13" t="n">
        <v>84</v>
      </c>
      <c r="F251" s="13" t="n">
        <v>85</v>
      </c>
      <c r="G251" s="13" t="n">
        <v>261</v>
      </c>
      <c r="H251" s="13" t="n">
        <v>341</v>
      </c>
      <c r="I251" s="14" t="n">
        <v>3.07</v>
      </c>
      <c r="J251" s="62" t="n">
        <v>6.9</v>
      </c>
      <c r="K251" s="13" t="n">
        <v>80</v>
      </c>
      <c r="L251" s="13" t="n">
        <v>5</v>
      </c>
    </row>
    <row r="252">
      <c r="A252" s="11" t="inlineStr">
        <is>
          <t>HOSP-0251</t>
        </is>
      </c>
      <c r="B252" s="61" t="n">
        <v>45809</v>
      </c>
      <c r="C252" s="11" t="inlineStr">
        <is>
          <t>Site 01</t>
        </is>
      </c>
      <c r="D252" s="11" t="inlineStr">
        <is>
          <t>Cardiology</t>
        </is>
      </c>
      <c r="E252" s="13" t="n">
        <v>109</v>
      </c>
      <c r="F252" s="13" t="n">
        <v>107</v>
      </c>
      <c r="G252" s="13" t="n">
        <v>540</v>
      </c>
      <c r="H252" s="13" t="n">
        <v>660</v>
      </c>
      <c r="I252" s="14" t="n">
        <v>5.05</v>
      </c>
      <c r="J252" s="62" t="n">
        <v>9.800000000000001</v>
      </c>
      <c r="K252" s="13" t="n">
        <v>97</v>
      </c>
      <c r="L252" s="13" t="n">
        <v>8</v>
      </c>
    </row>
    <row r="253">
      <c r="A253" s="11" t="inlineStr">
        <is>
          <t>HOSP-0252</t>
        </is>
      </c>
      <c r="B253" s="61" t="n">
        <v>45809</v>
      </c>
      <c r="C253" s="11" t="inlineStr">
        <is>
          <t>Site 01</t>
        </is>
      </c>
      <c r="D253" s="11" t="inlineStr">
        <is>
          <t>Orthopaedics</t>
        </is>
      </c>
      <c r="E253" s="13" t="n">
        <v>83</v>
      </c>
      <c r="F253" s="13" t="n">
        <v>78</v>
      </c>
      <c r="G253" s="13" t="n">
        <v>476</v>
      </c>
      <c r="H253" s="13" t="n">
        <v>570</v>
      </c>
      <c r="I253" s="14" t="n">
        <v>6.1</v>
      </c>
      <c r="J253" s="62" t="n">
        <v>14.9</v>
      </c>
      <c r="K253" s="13" t="n">
        <v>72</v>
      </c>
      <c r="L253" s="13" t="n">
        <v>11</v>
      </c>
    </row>
    <row r="254">
      <c r="A254" s="11" t="inlineStr">
        <is>
          <t>HOSP-0253</t>
        </is>
      </c>
      <c r="B254" s="61" t="n">
        <v>45809</v>
      </c>
      <c r="C254" s="11" t="inlineStr">
        <is>
          <t>Site 01</t>
        </is>
      </c>
      <c r="D254" s="11" t="inlineStr">
        <is>
          <t>General Medicine</t>
        </is>
      </c>
      <c r="E254" s="13" t="n">
        <v>142</v>
      </c>
      <c r="F254" s="13" t="n">
        <v>144</v>
      </c>
      <c r="G254" s="13" t="n">
        <v>623</v>
      </c>
      <c r="H254" s="13" t="n">
        <v>720</v>
      </c>
      <c r="I254" s="14" t="n">
        <v>4.33</v>
      </c>
      <c r="J254" s="62" t="n">
        <v>7.2</v>
      </c>
      <c r="K254" s="13" t="n">
        <v>126</v>
      </c>
      <c r="L254" s="13" t="n">
        <v>9</v>
      </c>
    </row>
    <row r="255">
      <c r="A255" s="11" t="inlineStr">
        <is>
          <t>HOSP-0254</t>
        </is>
      </c>
      <c r="B255" s="61" t="n">
        <v>45809</v>
      </c>
      <c r="C255" s="11" t="inlineStr">
        <is>
          <t>Site 01</t>
        </is>
      </c>
      <c r="D255" s="11" t="inlineStr">
        <is>
          <t>Nephrology</t>
        </is>
      </c>
      <c r="E255" s="13" t="n">
        <v>62</v>
      </c>
      <c r="F255" s="13" t="n">
        <v>68</v>
      </c>
      <c r="G255" s="13" t="n">
        <v>531</v>
      </c>
      <c r="H255" s="13" t="n">
        <v>540</v>
      </c>
      <c r="I255" s="14" t="n">
        <v>7.81</v>
      </c>
      <c r="J255" s="62" t="n">
        <v>12.2</v>
      </c>
      <c r="K255" s="13" t="n">
        <v>61</v>
      </c>
      <c r="L255" s="13" t="n">
        <v>6</v>
      </c>
    </row>
    <row r="256">
      <c r="A256" s="11" t="inlineStr">
        <is>
          <t>HOSP-0255</t>
        </is>
      </c>
      <c r="B256" s="61" t="n">
        <v>45809</v>
      </c>
      <c r="C256" s="11" t="inlineStr">
        <is>
          <t>Site 01</t>
        </is>
      </c>
      <c r="D256" s="11" t="inlineStr">
        <is>
          <t>Paediatrics</t>
        </is>
      </c>
      <c r="E256" s="13" t="n">
        <v>99</v>
      </c>
      <c r="F256" s="13" t="n">
        <v>95</v>
      </c>
      <c r="G256" s="13" t="n">
        <v>278</v>
      </c>
      <c r="H256" s="13" t="n">
        <v>330</v>
      </c>
      <c r="I256" s="14" t="n">
        <v>2.93</v>
      </c>
      <c r="J256" s="62" t="n">
        <v>7.1</v>
      </c>
      <c r="K256" s="13" t="n">
        <v>83</v>
      </c>
      <c r="L256" s="13" t="n">
        <v>5</v>
      </c>
    </row>
    <row r="257">
      <c r="A257" s="11" t="inlineStr">
        <is>
          <t>HOSP-0256</t>
        </is>
      </c>
      <c r="B257" s="61" t="n">
        <v>45809</v>
      </c>
      <c r="C257" s="11" t="inlineStr">
        <is>
          <t>Site 02</t>
        </is>
      </c>
      <c r="D257" s="11" t="inlineStr">
        <is>
          <t>Cardiology</t>
        </is>
      </c>
      <c r="E257" s="13" t="n">
        <v>106</v>
      </c>
      <c r="F257" s="13" t="n">
        <v>108</v>
      </c>
      <c r="G257" s="13" t="n">
        <v>552</v>
      </c>
      <c r="H257" s="13" t="n">
        <v>660</v>
      </c>
      <c r="I257" s="14" t="n">
        <v>5.11</v>
      </c>
      <c r="J257" s="62" t="n">
        <v>9.300000000000001</v>
      </c>
      <c r="K257" s="13" t="n">
        <v>94</v>
      </c>
      <c r="L257" s="13" t="n">
        <v>5</v>
      </c>
    </row>
    <row r="258">
      <c r="A258" s="11" t="inlineStr">
        <is>
          <t>HOSP-0257</t>
        </is>
      </c>
      <c r="B258" s="61" t="n">
        <v>45809</v>
      </c>
      <c r="C258" s="11" t="inlineStr">
        <is>
          <t>Site 02</t>
        </is>
      </c>
      <c r="D258" s="11" t="inlineStr">
        <is>
          <t>Orthopaedics</t>
        </is>
      </c>
      <c r="E258" s="13" t="n">
        <v>73</v>
      </c>
      <c r="F258" s="13" t="n">
        <v>67</v>
      </c>
      <c r="G258" s="13" t="n">
        <v>398</v>
      </c>
      <c r="H258" s="13" t="n">
        <v>570</v>
      </c>
      <c r="I258" s="14" t="n">
        <v>5.94</v>
      </c>
      <c r="J258" s="62" t="n">
        <v>9</v>
      </c>
      <c r="K258" s="13" t="n">
        <v>60</v>
      </c>
      <c r="L258" s="13" t="n">
        <v>9</v>
      </c>
    </row>
    <row r="259">
      <c r="A259" s="11" t="inlineStr">
        <is>
          <t>HOSP-0258</t>
        </is>
      </c>
      <c r="B259" s="61" t="n">
        <v>45809</v>
      </c>
      <c r="C259" s="11" t="inlineStr">
        <is>
          <t>Site 02</t>
        </is>
      </c>
      <c r="D259" s="11" t="inlineStr">
        <is>
          <t>General Medicine</t>
        </is>
      </c>
      <c r="E259" s="13" t="n">
        <v>138</v>
      </c>
      <c r="F259" s="13" t="n">
        <v>138</v>
      </c>
      <c r="G259" s="13" t="n">
        <v>564</v>
      </c>
      <c r="H259" s="13" t="n">
        <v>720</v>
      </c>
      <c r="I259" s="14" t="n">
        <v>4.09</v>
      </c>
      <c r="J259" s="62" t="n">
        <v>6.7</v>
      </c>
      <c r="K259" s="13" t="n">
        <v>121</v>
      </c>
      <c r="L259" s="13" t="n">
        <v>7</v>
      </c>
    </row>
    <row r="260">
      <c r="A260" s="11" t="inlineStr">
        <is>
          <t>HOSP-0259</t>
        </is>
      </c>
      <c r="B260" s="61" t="n">
        <v>45809</v>
      </c>
      <c r="C260" s="11" t="inlineStr">
        <is>
          <t>Site 02</t>
        </is>
      </c>
      <c r="D260" s="11" t="inlineStr">
        <is>
          <t>Nephrology</t>
        </is>
      </c>
      <c r="E260" s="13" t="n">
        <v>54</v>
      </c>
      <c r="F260" s="13" t="n">
        <v>55</v>
      </c>
      <c r="G260" s="13" t="n">
        <v>468</v>
      </c>
      <c r="H260" s="13" t="n">
        <v>540</v>
      </c>
      <c r="I260" s="14" t="n">
        <v>8.51</v>
      </c>
      <c r="J260" s="62" t="n">
        <v>12</v>
      </c>
      <c r="K260" s="13" t="n">
        <v>49</v>
      </c>
      <c r="L260" s="13" t="n">
        <v>4</v>
      </c>
    </row>
    <row r="261">
      <c r="A261" s="11" t="inlineStr">
        <is>
          <t>HOSP-0260</t>
        </is>
      </c>
      <c r="B261" s="61" t="n">
        <v>45809</v>
      </c>
      <c r="C261" s="11" t="inlineStr">
        <is>
          <t>Site 02</t>
        </is>
      </c>
      <c r="D261" s="11" t="inlineStr">
        <is>
          <t>Paediatrics</t>
        </is>
      </c>
      <c r="E261" s="13" t="n">
        <v>85</v>
      </c>
      <c r="F261" s="13" t="n">
        <v>91</v>
      </c>
      <c r="G261" s="13" t="n">
        <v>280</v>
      </c>
      <c r="H261" s="13" t="n">
        <v>330</v>
      </c>
      <c r="I261" s="14" t="n">
        <v>3.08</v>
      </c>
      <c r="J261" s="62" t="n">
        <v>6.2</v>
      </c>
      <c r="K261" s="13" t="n">
        <v>81</v>
      </c>
      <c r="L261" s="13" t="n">
        <v>4</v>
      </c>
    </row>
    <row r="262">
      <c r="A262" s="11" t="inlineStr">
        <is>
          <t>HOSP-0261</t>
        </is>
      </c>
      <c r="B262" s="61" t="n">
        <v>45809</v>
      </c>
      <c r="C262" s="11" t="inlineStr">
        <is>
          <t>Site 03</t>
        </is>
      </c>
      <c r="D262" s="11" t="inlineStr">
        <is>
          <t>Cardiology</t>
        </is>
      </c>
      <c r="E262" s="13" t="n">
        <v>132</v>
      </c>
      <c r="F262" s="13" t="n">
        <v>136</v>
      </c>
      <c r="G262" s="13" t="n">
        <v>642</v>
      </c>
      <c r="H262" s="13" t="n">
        <v>660</v>
      </c>
      <c r="I262" s="14" t="n">
        <v>4.72</v>
      </c>
      <c r="J262" s="62" t="n">
        <v>11.7</v>
      </c>
      <c r="K262" s="13" t="n">
        <v>127</v>
      </c>
      <c r="L262" s="13" t="n">
        <v>9</v>
      </c>
    </row>
    <row r="263">
      <c r="A263" s="11" t="inlineStr">
        <is>
          <t>HOSP-0262</t>
        </is>
      </c>
      <c r="B263" s="61" t="n">
        <v>45809</v>
      </c>
      <c r="C263" s="11" t="inlineStr">
        <is>
          <t>Site 03</t>
        </is>
      </c>
      <c r="D263" s="11" t="inlineStr">
        <is>
          <t>Orthopaedics</t>
        </is>
      </c>
      <c r="E263" s="13" t="n">
        <v>84</v>
      </c>
      <c r="F263" s="13" t="n">
        <v>86</v>
      </c>
      <c r="G263" s="13" t="n">
        <v>556</v>
      </c>
      <c r="H263" s="13" t="n">
        <v>570</v>
      </c>
      <c r="I263" s="14" t="n">
        <v>6.47</v>
      </c>
      <c r="J263" s="62" t="n">
        <v>14.1</v>
      </c>
      <c r="K263" s="13" t="n">
        <v>79</v>
      </c>
      <c r="L263" s="13" t="n">
        <v>8</v>
      </c>
    </row>
    <row r="264">
      <c r="A264" s="11" t="inlineStr">
        <is>
          <t>HOSP-0263</t>
        </is>
      </c>
      <c r="B264" s="61" t="n">
        <v>45809</v>
      </c>
      <c r="C264" s="11" t="inlineStr">
        <is>
          <t>Site 03</t>
        </is>
      </c>
      <c r="D264" s="11" t="inlineStr">
        <is>
          <t>General Medicine</t>
        </is>
      </c>
      <c r="E264" s="13" t="n">
        <v>147</v>
      </c>
      <c r="F264" s="13" t="n">
        <v>148</v>
      </c>
      <c r="G264" s="13" t="n">
        <v>596</v>
      </c>
      <c r="H264" s="13" t="n">
        <v>720</v>
      </c>
      <c r="I264" s="14" t="n">
        <v>4.03</v>
      </c>
      <c r="J264" s="62" t="n">
        <v>9.1</v>
      </c>
      <c r="K264" s="13" t="n">
        <v>135</v>
      </c>
      <c r="L264" s="13" t="n">
        <v>5</v>
      </c>
    </row>
    <row r="265">
      <c r="A265" s="11" t="inlineStr">
        <is>
          <t>HOSP-0264</t>
        </is>
      </c>
      <c r="B265" s="61" t="n">
        <v>45809</v>
      </c>
      <c r="C265" s="11" t="inlineStr">
        <is>
          <t>Site 03</t>
        </is>
      </c>
      <c r="D265" s="11" t="inlineStr">
        <is>
          <t>Nephrology</t>
        </is>
      </c>
      <c r="E265" s="13" t="n">
        <v>59</v>
      </c>
      <c r="F265" s="13" t="n">
        <v>62</v>
      </c>
      <c r="G265" s="13" t="n">
        <v>479</v>
      </c>
      <c r="H265" s="13" t="n">
        <v>540</v>
      </c>
      <c r="I265" s="14" t="n">
        <v>7.73</v>
      </c>
      <c r="J265" s="62" t="n">
        <v>15.6</v>
      </c>
      <c r="K265" s="13" t="n">
        <v>58</v>
      </c>
      <c r="L265" s="13" t="n">
        <v>5</v>
      </c>
    </row>
    <row r="266">
      <c r="A266" s="11" t="inlineStr">
        <is>
          <t>HOSP-0265</t>
        </is>
      </c>
      <c r="B266" s="61" t="n">
        <v>45809</v>
      </c>
      <c r="C266" s="11" t="inlineStr">
        <is>
          <t>Site 03</t>
        </is>
      </c>
      <c r="D266" s="11" t="inlineStr">
        <is>
          <t>Paediatrics</t>
        </is>
      </c>
      <c r="E266" s="13" t="n">
        <v>103</v>
      </c>
      <c r="F266" s="13" t="n">
        <v>102</v>
      </c>
      <c r="G266" s="13" t="n">
        <v>327</v>
      </c>
      <c r="H266" s="13" t="n">
        <v>330</v>
      </c>
      <c r="I266" s="14" t="n">
        <v>3.21</v>
      </c>
      <c r="J266" s="62" t="n">
        <v>6.6</v>
      </c>
      <c r="K266" s="13" t="n">
        <v>94</v>
      </c>
      <c r="L266" s="13" t="n">
        <v>5</v>
      </c>
    </row>
    <row r="267">
      <c r="A267" s="11" t="inlineStr">
        <is>
          <t>HOSP-0266</t>
        </is>
      </c>
      <c r="B267" s="61" t="n">
        <v>45809</v>
      </c>
      <c r="C267" s="11" t="inlineStr">
        <is>
          <t>Site 04</t>
        </is>
      </c>
      <c r="D267" s="11" t="inlineStr">
        <is>
          <t>Cardiology</t>
        </is>
      </c>
      <c r="E267" s="13" t="n">
        <v>103</v>
      </c>
      <c r="F267" s="13" t="n">
        <v>100</v>
      </c>
      <c r="G267" s="13" t="n">
        <v>547</v>
      </c>
      <c r="H267" s="13" t="n">
        <v>660</v>
      </c>
      <c r="I267" s="14" t="n">
        <v>5.47</v>
      </c>
      <c r="J267" s="62" t="n">
        <v>8.800000000000001</v>
      </c>
      <c r="K267" s="13" t="n">
        <v>87</v>
      </c>
      <c r="L267" s="13" t="n">
        <v>7</v>
      </c>
    </row>
    <row r="268">
      <c r="A268" s="11" t="inlineStr">
        <is>
          <t>HOSP-0267</t>
        </is>
      </c>
      <c r="B268" s="61" t="n">
        <v>45809</v>
      </c>
      <c r="C268" s="11" t="inlineStr">
        <is>
          <t>Site 04</t>
        </is>
      </c>
      <c r="D268" s="11" t="inlineStr">
        <is>
          <t>Orthopaedics</t>
        </is>
      </c>
      <c r="E268" s="13" t="n">
        <v>74</v>
      </c>
      <c r="F268" s="13" t="n">
        <v>72</v>
      </c>
      <c r="G268" s="13" t="n">
        <v>423</v>
      </c>
      <c r="H268" s="13" t="n">
        <v>570</v>
      </c>
      <c r="I268" s="14" t="n">
        <v>5.88</v>
      </c>
      <c r="J268" s="62" t="n">
        <v>12.2</v>
      </c>
      <c r="K268" s="13" t="n">
        <v>62</v>
      </c>
      <c r="L268" s="13" t="n">
        <v>6</v>
      </c>
    </row>
    <row r="269">
      <c r="A269" s="11" t="inlineStr">
        <is>
          <t>HOSP-0268</t>
        </is>
      </c>
      <c r="B269" s="61" t="n">
        <v>45809</v>
      </c>
      <c r="C269" s="11" t="inlineStr">
        <is>
          <t>Site 04</t>
        </is>
      </c>
      <c r="D269" s="11" t="inlineStr">
        <is>
          <t>General Medicine</t>
        </is>
      </c>
      <c r="E269" s="13" t="n">
        <v>159</v>
      </c>
      <c r="F269" s="13" t="n">
        <v>154</v>
      </c>
      <c r="G269" s="13" t="n">
        <v>573</v>
      </c>
      <c r="H269" s="13" t="n">
        <v>720</v>
      </c>
      <c r="I269" s="14" t="n">
        <v>3.72</v>
      </c>
      <c r="J269" s="62" t="n">
        <v>8.699999999999999</v>
      </c>
      <c r="K269" s="13" t="n">
        <v>138</v>
      </c>
      <c r="L269" s="13" t="n">
        <v>7</v>
      </c>
    </row>
    <row r="270">
      <c r="A270" s="11" t="inlineStr">
        <is>
          <t>HOSP-0269</t>
        </is>
      </c>
      <c r="B270" s="61" t="n">
        <v>45809</v>
      </c>
      <c r="C270" s="11" t="inlineStr">
        <is>
          <t>Site 04</t>
        </is>
      </c>
      <c r="D270" s="11" t="inlineStr">
        <is>
          <t>Nephrology</t>
        </is>
      </c>
      <c r="E270" s="13" t="n">
        <v>55</v>
      </c>
      <c r="F270" s="13" t="n">
        <v>53</v>
      </c>
      <c r="G270" s="13" t="n">
        <v>422</v>
      </c>
      <c r="H270" s="13" t="n">
        <v>540</v>
      </c>
      <c r="I270" s="14" t="n">
        <v>7.96</v>
      </c>
      <c r="J270" s="62" t="n">
        <v>12.2</v>
      </c>
      <c r="K270" s="13" t="n">
        <v>47</v>
      </c>
      <c r="L270" s="13" t="n">
        <v>3</v>
      </c>
    </row>
    <row r="271">
      <c r="A271" s="11" t="inlineStr">
        <is>
          <t>HOSP-0270</t>
        </is>
      </c>
      <c r="B271" s="61" t="n">
        <v>45809</v>
      </c>
      <c r="C271" s="11" t="inlineStr">
        <is>
          <t>Site 04</t>
        </is>
      </c>
      <c r="D271" s="11" t="inlineStr">
        <is>
          <t>Paediatrics</t>
        </is>
      </c>
      <c r="E271" s="13" t="n">
        <v>88</v>
      </c>
      <c r="F271" s="13" t="n">
        <v>86</v>
      </c>
      <c r="G271" s="13" t="n">
        <v>299</v>
      </c>
      <c r="H271" s="13" t="n">
        <v>330</v>
      </c>
      <c r="I271" s="14" t="n">
        <v>3.48</v>
      </c>
      <c r="J271" s="62" t="n">
        <v>6.6</v>
      </c>
      <c r="K271" s="13" t="n">
        <v>75</v>
      </c>
      <c r="L271" s="13" t="n">
        <v>4</v>
      </c>
    </row>
    <row r="272">
      <c r="A272" s="11" t="inlineStr">
        <is>
          <t>HOSP-0271</t>
        </is>
      </c>
      <c r="B272" s="61" t="n">
        <v>45809</v>
      </c>
      <c r="C272" s="11" t="inlineStr">
        <is>
          <t>Site 05</t>
        </is>
      </c>
      <c r="D272" s="11" t="inlineStr">
        <is>
          <t>Cardiology</t>
        </is>
      </c>
      <c r="E272" s="13" t="n">
        <v>96</v>
      </c>
      <c r="F272" s="13" t="n">
        <v>101</v>
      </c>
      <c r="G272" s="13" t="n">
        <v>472</v>
      </c>
      <c r="H272" s="13" t="n">
        <v>660</v>
      </c>
      <c r="I272" s="14" t="n">
        <v>4.67</v>
      </c>
      <c r="J272" s="62" t="n">
        <v>10.8</v>
      </c>
      <c r="K272" s="13" t="n">
        <v>94</v>
      </c>
      <c r="L272" s="13" t="n">
        <v>9</v>
      </c>
    </row>
    <row r="273">
      <c r="A273" s="11" t="inlineStr">
        <is>
          <t>HOSP-0272</t>
        </is>
      </c>
      <c r="B273" s="61" t="n">
        <v>45809</v>
      </c>
      <c r="C273" s="11" t="inlineStr">
        <is>
          <t>Site 05</t>
        </is>
      </c>
      <c r="D273" s="11" t="inlineStr">
        <is>
          <t>Orthopaedics</t>
        </is>
      </c>
      <c r="E273" s="13" t="n">
        <v>63</v>
      </c>
      <c r="F273" s="13" t="n">
        <v>61</v>
      </c>
      <c r="G273" s="13" t="n">
        <v>329</v>
      </c>
      <c r="H273" s="13" t="n">
        <v>570</v>
      </c>
      <c r="I273" s="14" t="n">
        <v>5.39</v>
      </c>
      <c r="J273" s="62" t="n">
        <v>11.9</v>
      </c>
      <c r="K273" s="13" t="n">
        <v>55</v>
      </c>
      <c r="L273" s="13" t="n">
        <v>7</v>
      </c>
    </row>
    <row r="274">
      <c r="A274" s="11" t="inlineStr">
        <is>
          <t>HOSP-0273</t>
        </is>
      </c>
      <c r="B274" s="61" t="n">
        <v>45809</v>
      </c>
      <c r="C274" s="11" t="inlineStr">
        <is>
          <t>Site 05</t>
        </is>
      </c>
      <c r="D274" s="11" t="inlineStr">
        <is>
          <t>General Medicine</t>
        </is>
      </c>
      <c r="E274" s="13" t="n">
        <v>127</v>
      </c>
      <c r="F274" s="13" t="n">
        <v>127</v>
      </c>
      <c r="G274" s="13" t="n">
        <v>541</v>
      </c>
      <c r="H274" s="13" t="n">
        <v>720</v>
      </c>
      <c r="I274" s="14" t="n">
        <v>4.26</v>
      </c>
      <c r="J274" s="62" t="n">
        <v>9.199999999999999</v>
      </c>
      <c r="K274" s="13" t="n">
        <v>109</v>
      </c>
      <c r="L274" s="13" t="n">
        <v>4</v>
      </c>
    </row>
    <row r="275">
      <c r="A275" s="11" t="inlineStr">
        <is>
          <t>HOSP-0274</t>
        </is>
      </c>
      <c r="B275" s="61" t="n">
        <v>45809</v>
      </c>
      <c r="C275" s="11" t="inlineStr">
        <is>
          <t>Site 05</t>
        </is>
      </c>
      <c r="D275" s="11" t="inlineStr">
        <is>
          <t>Nephrology</t>
        </is>
      </c>
      <c r="E275" s="13" t="n">
        <v>49</v>
      </c>
      <c r="F275" s="13" t="n">
        <v>53</v>
      </c>
      <c r="G275" s="13" t="n">
        <v>427</v>
      </c>
      <c r="H275" s="13" t="n">
        <v>540</v>
      </c>
      <c r="I275" s="14" t="n">
        <v>8.06</v>
      </c>
      <c r="J275" s="62" t="n">
        <v>13</v>
      </c>
      <c r="K275" s="13" t="n">
        <v>48</v>
      </c>
      <c r="L275" s="13" t="n">
        <v>3</v>
      </c>
    </row>
    <row r="276">
      <c r="A276" s="11" t="inlineStr">
        <is>
          <t>HOSP-0275</t>
        </is>
      </c>
      <c r="B276" s="61" t="n">
        <v>45809</v>
      </c>
      <c r="C276" s="11" t="inlineStr">
        <is>
          <t>Site 05</t>
        </is>
      </c>
      <c r="D276" s="11" t="inlineStr">
        <is>
          <t>Paediatrics</t>
        </is>
      </c>
      <c r="E276" s="13" t="n">
        <v>83</v>
      </c>
      <c r="F276" s="13" t="n">
        <v>86</v>
      </c>
      <c r="G276" s="13" t="n">
        <v>279</v>
      </c>
      <c r="H276" s="13" t="n">
        <v>330</v>
      </c>
      <c r="I276" s="14" t="n">
        <v>3.24</v>
      </c>
      <c r="J276" s="62" t="n">
        <v>5.2</v>
      </c>
      <c r="K276" s="13" t="n">
        <v>81</v>
      </c>
      <c r="L276" s="13" t="n">
        <v>5</v>
      </c>
    </row>
    <row r="277">
      <c r="A277" s="11" t="inlineStr">
        <is>
          <t>HOSP-0276</t>
        </is>
      </c>
      <c r="B277" s="61" t="n">
        <v>45809</v>
      </c>
      <c r="C277" s="11" t="inlineStr">
        <is>
          <t>Site 06</t>
        </is>
      </c>
      <c r="D277" s="11" t="inlineStr">
        <is>
          <t>Cardiology</t>
        </is>
      </c>
      <c r="E277" s="13" t="n">
        <v>115</v>
      </c>
      <c r="F277" s="13" t="n">
        <v>111</v>
      </c>
      <c r="G277" s="13" t="n">
        <v>606</v>
      </c>
      <c r="H277" s="13" t="n">
        <v>660</v>
      </c>
      <c r="I277" s="14" t="n">
        <v>5.46</v>
      </c>
      <c r="J277" s="62" t="n">
        <v>10.8</v>
      </c>
      <c r="K277" s="13" t="n">
        <v>98</v>
      </c>
      <c r="L277" s="13" t="n">
        <v>10</v>
      </c>
    </row>
    <row r="278">
      <c r="A278" s="11" t="inlineStr">
        <is>
          <t>HOSP-0277</t>
        </is>
      </c>
      <c r="B278" s="61" t="n">
        <v>45809</v>
      </c>
      <c r="C278" s="11" t="inlineStr">
        <is>
          <t>Site 06</t>
        </is>
      </c>
      <c r="D278" s="11" t="inlineStr">
        <is>
          <t>Orthopaedics</t>
        </is>
      </c>
      <c r="E278" s="13" t="n">
        <v>83</v>
      </c>
      <c r="F278" s="13" t="n">
        <v>82</v>
      </c>
      <c r="G278" s="13" t="n">
        <v>476</v>
      </c>
      <c r="H278" s="13" t="n">
        <v>570</v>
      </c>
      <c r="I278" s="14" t="n">
        <v>5.8</v>
      </c>
      <c r="J278" s="62" t="n">
        <v>14.9</v>
      </c>
      <c r="K278" s="13" t="n">
        <v>72</v>
      </c>
      <c r="L278" s="13" t="n">
        <v>7</v>
      </c>
    </row>
    <row r="279">
      <c r="A279" s="11" t="inlineStr">
        <is>
          <t>HOSP-0278</t>
        </is>
      </c>
      <c r="B279" s="61" t="n">
        <v>45809</v>
      </c>
      <c r="C279" s="11" t="inlineStr">
        <is>
          <t>Site 06</t>
        </is>
      </c>
      <c r="D279" s="11" t="inlineStr">
        <is>
          <t>General Medicine</t>
        </is>
      </c>
      <c r="E279" s="13" t="n">
        <v>159</v>
      </c>
      <c r="F279" s="13" t="n">
        <v>157</v>
      </c>
      <c r="G279" s="13" t="n">
        <v>606</v>
      </c>
      <c r="H279" s="13" t="n">
        <v>720</v>
      </c>
      <c r="I279" s="14" t="n">
        <v>3.86</v>
      </c>
      <c r="J279" s="62" t="n">
        <v>7.6</v>
      </c>
      <c r="K279" s="13" t="n">
        <v>145</v>
      </c>
      <c r="L279" s="13" t="n">
        <v>8</v>
      </c>
    </row>
    <row r="280">
      <c r="A280" s="11" t="inlineStr">
        <is>
          <t>HOSP-0279</t>
        </is>
      </c>
      <c r="B280" s="61" t="n">
        <v>45809</v>
      </c>
      <c r="C280" s="11" t="inlineStr">
        <is>
          <t>Site 06</t>
        </is>
      </c>
      <c r="D280" s="11" t="inlineStr">
        <is>
          <t>Nephrology</t>
        </is>
      </c>
      <c r="E280" s="13" t="n">
        <v>58</v>
      </c>
      <c r="F280" s="13" t="n">
        <v>61</v>
      </c>
      <c r="G280" s="13" t="n">
        <v>499</v>
      </c>
      <c r="H280" s="13" t="n">
        <v>540</v>
      </c>
      <c r="I280" s="14" t="n">
        <v>8.18</v>
      </c>
      <c r="J280" s="62" t="n">
        <v>12.3</v>
      </c>
      <c r="K280" s="13" t="n">
        <v>57</v>
      </c>
      <c r="L280" s="13" t="n">
        <v>5</v>
      </c>
    </row>
    <row r="281">
      <c r="A281" s="11" t="inlineStr">
        <is>
          <t>HOSP-0280</t>
        </is>
      </c>
      <c r="B281" s="61" t="n">
        <v>45809</v>
      </c>
      <c r="C281" s="11" t="inlineStr">
        <is>
          <t>Site 06</t>
        </is>
      </c>
      <c r="D281" s="11" t="inlineStr">
        <is>
          <t>Paediatrics</t>
        </is>
      </c>
      <c r="E281" s="13" t="n">
        <v>90</v>
      </c>
      <c r="F281" s="13" t="n">
        <v>86</v>
      </c>
      <c r="G281" s="13" t="n">
        <v>248</v>
      </c>
      <c r="H281" s="13" t="n">
        <v>330</v>
      </c>
      <c r="I281" s="14" t="n">
        <v>2.88</v>
      </c>
      <c r="J281" s="62" t="n">
        <v>5.8</v>
      </c>
      <c r="K281" s="13" t="n">
        <v>76</v>
      </c>
      <c r="L281" s="13" t="n">
        <v>3</v>
      </c>
    </row>
    <row r="282">
      <c r="A282" s="11" t="inlineStr">
        <is>
          <t>HOSP-0281</t>
        </is>
      </c>
      <c r="B282" s="61" t="n">
        <v>45809</v>
      </c>
      <c r="C282" s="11" t="inlineStr">
        <is>
          <t>Site 07</t>
        </is>
      </c>
      <c r="D282" s="11" t="inlineStr">
        <is>
          <t>Cardiology</t>
        </is>
      </c>
      <c r="E282" s="13" t="n">
        <v>112</v>
      </c>
      <c r="F282" s="13" t="n">
        <v>106</v>
      </c>
      <c r="G282" s="13" t="n">
        <v>499</v>
      </c>
      <c r="H282" s="13" t="n">
        <v>660</v>
      </c>
      <c r="I282" s="14" t="n">
        <v>4.71</v>
      </c>
      <c r="J282" s="62" t="n">
        <v>10.5</v>
      </c>
      <c r="K282" s="13" t="n">
        <v>98</v>
      </c>
      <c r="L282" s="13" t="n">
        <v>8</v>
      </c>
    </row>
    <row r="283">
      <c r="A283" s="11" t="inlineStr">
        <is>
          <t>HOSP-0282</t>
        </is>
      </c>
      <c r="B283" s="61" t="n">
        <v>45809</v>
      </c>
      <c r="C283" s="11" t="inlineStr">
        <is>
          <t>Site 07</t>
        </is>
      </c>
      <c r="D283" s="11" t="inlineStr">
        <is>
          <t>Orthopaedics</t>
        </is>
      </c>
      <c r="E283" s="13" t="n">
        <v>79</v>
      </c>
      <c r="F283" s="13" t="n">
        <v>78</v>
      </c>
      <c r="G283" s="13" t="n">
        <v>434</v>
      </c>
      <c r="H283" s="13" t="n">
        <v>570</v>
      </c>
      <c r="I283" s="14" t="n">
        <v>5.56</v>
      </c>
      <c r="J283" s="62" t="n">
        <v>11.9</v>
      </c>
      <c r="K283" s="13" t="n">
        <v>67</v>
      </c>
      <c r="L283" s="13" t="n">
        <v>10</v>
      </c>
    </row>
    <row r="284">
      <c r="A284" s="11" t="inlineStr">
        <is>
          <t>HOSP-0283</t>
        </is>
      </c>
      <c r="B284" s="61" t="n">
        <v>45809</v>
      </c>
      <c r="C284" s="11" t="inlineStr">
        <is>
          <t>Site 07</t>
        </is>
      </c>
      <c r="D284" s="11" t="inlineStr">
        <is>
          <t>General Medicine</t>
        </is>
      </c>
      <c r="E284" s="13" t="n">
        <v>134</v>
      </c>
      <c r="F284" s="13" t="n">
        <v>139</v>
      </c>
      <c r="G284" s="13" t="n">
        <v>596</v>
      </c>
      <c r="H284" s="13" t="n">
        <v>720</v>
      </c>
      <c r="I284" s="14" t="n">
        <v>4.29</v>
      </c>
      <c r="J284" s="62" t="n">
        <v>7.9</v>
      </c>
      <c r="K284" s="13" t="n">
        <v>129</v>
      </c>
      <c r="L284" s="13" t="n">
        <v>7</v>
      </c>
    </row>
    <row r="285">
      <c r="A285" s="11" t="inlineStr">
        <is>
          <t>HOSP-0284</t>
        </is>
      </c>
      <c r="B285" s="61" t="n">
        <v>45809</v>
      </c>
      <c r="C285" s="11" t="inlineStr">
        <is>
          <t>Site 07</t>
        </is>
      </c>
      <c r="D285" s="11" t="inlineStr">
        <is>
          <t>Nephrology</t>
        </is>
      </c>
      <c r="E285" s="13" t="n">
        <v>58</v>
      </c>
      <c r="F285" s="13" t="n">
        <v>52</v>
      </c>
      <c r="G285" s="13" t="n">
        <v>366</v>
      </c>
      <c r="H285" s="13" t="n">
        <v>540</v>
      </c>
      <c r="I285" s="14" t="n">
        <v>7.04</v>
      </c>
      <c r="J285" s="62" t="n">
        <v>9</v>
      </c>
      <c r="K285" s="13" t="n">
        <v>46</v>
      </c>
      <c r="L285" s="13" t="n">
        <v>3</v>
      </c>
    </row>
    <row r="286">
      <c r="A286" s="11" t="inlineStr">
        <is>
          <t>HOSP-0285</t>
        </is>
      </c>
      <c r="B286" s="61" t="n">
        <v>45809</v>
      </c>
      <c r="C286" s="11" t="inlineStr">
        <is>
          <t>Site 07</t>
        </is>
      </c>
      <c r="D286" s="11" t="inlineStr">
        <is>
          <t>Paediatrics</t>
        </is>
      </c>
      <c r="E286" s="13" t="n">
        <v>87</v>
      </c>
      <c r="F286" s="13" t="n">
        <v>86</v>
      </c>
      <c r="G286" s="13" t="n">
        <v>244</v>
      </c>
      <c r="H286" s="13" t="n">
        <v>330</v>
      </c>
      <c r="I286" s="14" t="n">
        <v>2.84</v>
      </c>
      <c r="J286" s="62" t="n">
        <v>6.4</v>
      </c>
      <c r="K286" s="13" t="n">
        <v>79</v>
      </c>
      <c r="L286" s="13" t="n">
        <v>4</v>
      </c>
    </row>
    <row r="287">
      <c r="A287" s="11" t="inlineStr">
        <is>
          <t>HOSP-0286</t>
        </is>
      </c>
      <c r="B287" s="61" t="n">
        <v>45809</v>
      </c>
      <c r="C287" s="11" t="inlineStr">
        <is>
          <t>Site 08</t>
        </is>
      </c>
      <c r="D287" s="11" t="inlineStr">
        <is>
          <t>Cardiology</t>
        </is>
      </c>
      <c r="E287" s="13" t="n">
        <v>115</v>
      </c>
      <c r="F287" s="13" t="n">
        <v>115</v>
      </c>
      <c r="G287" s="13" t="n">
        <v>610</v>
      </c>
      <c r="H287" s="13" t="n">
        <v>660</v>
      </c>
      <c r="I287" s="14" t="n">
        <v>5.3</v>
      </c>
      <c r="J287" s="62" t="n">
        <v>10.8</v>
      </c>
      <c r="K287" s="13" t="n">
        <v>101</v>
      </c>
      <c r="L287" s="13" t="n">
        <v>7</v>
      </c>
    </row>
    <row r="288">
      <c r="A288" s="11" t="inlineStr">
        <is>
          <t>HOSP-0287</t>
        </is>
      </c>
      <c r="B288" s="61" t="n">
        <v>45809</v>
      </c>
      <c r="C288" s="11" t="inlineStr">
        <is>
          <t>Site 08</t>
        </is>
      </c>
      <c r="D288" s="11" t="inlineStr">
        <is>
          <t>Orthopaedics</t>
        </is>
      </c>
      <c r="E288" s="13" t="n">
        <v>80</v>
      </c>
      <c r="F288" s="13" t="n">
        <v>86</v>
      </c>
      <c r="G288" s="13" t="n">
        <v>564</v>
      </c>
      <c r="H288" s="13" t="n">
        <v>570</v>
      </c>
      <c r="I288" s="14" t="n">
        <v>6.56</v>
      </c>
      <c r="J288" s="62" t="n">
        <v>11.6</v>
      </c>
      <c r="K288" s="13" t="n">
        <v>75</v>
      </c>
      <c r="L288" s="13" t="n">
        <v>11</v>
      </c>
    </row>
    <row r="289">
      <c r="A289" s="11" t="inlineStr">
        <is>
          <t>HOSP-0288</t>
        </is>
      </c>
      <c r="B289" s="61" t="n">
        <v>45809</v>
      </c>
      <c r="C289" s="11" t="inlineStr">
        <is>
          <t>Site 08</t>
        </is>
      </c>
      <c r="D289" s="11" t="inlineStr">
        <is>
          <t>General Medicine</t>
        </is>
      </c>
      <c r="E289" s="13" t="n">
        <v>165</v>
      </c>
      <c r="F289" s="13" t="n">
        <v>160</v>
      </c>
      <c r="G289" s="13" t="n">
        <v>647</v>
      </c>
      <c r="H289" s="13" t="n">
        <v>720</v>
      </c>
      <c r="I289" s="14" t="n">
        <v>4.04</v>
      </c>
      <c r="J289" s="62" t="n">
        <v>7.8</v>
      </c>
      <c r="K289" s="13" t="n">
        <v>148</v>
      </c>
      <c r="L289" s="13" t="n">
        <v>9</v>
      </c>
    </row>
    <row r="290">
      <c r="A290" s="11" t="inlineStr">
        <is>
          <t>HOSP-0289</t>
        </is>
      </c>
      <c r="B290" s="61" t="n">
        <v>45809</v>
      </c>
      <c r="C290" s="11" t="inlineStr">
        <is>
          <t>Site 08</t>
        </is>
      </c>
      <c r="D290" s="11" t="inlineStr">
        <is>
          <t>Nephrology</t>
        </is>
      </c>
      <c r="E290" s="13" t="n">
        <v>57</v>
      </c>
      <c r="F290" s="13" t="n">
        <v>52</v>
      </c>
      <c r="G290" s="13" t="n">
        <v>408</v>
      </c>
      <c r="H290" s="13" t="n">
        <v>540</v>
      </c>
      <c r="I290" s="14" t="n">
        <v>7.85</v>
      </c>
      <c r="J290" s="62" t="n">
        <v>11.5</v>
      </c>
      <c r="K290" s="13" t="n">
        <v>46</v>
      </c>
      <c r="L290" s="13" t="n">
        <v>6</v>
      </c>
    </row>
    <row r="291">
      <c r="A291" s="11" t="inlineStr">
        <is>
          <t>HOSP-0290</t>
        </is>
      </c>
      <c r="B291" s="61" t="n">
        <v>45809</v>
      </c>
      <c r="C291" s="11" t="inlineStr">
        <is>
          <t>Site 08</t>
        </is>
      </c>
      <c r="D291" s="11" t="inlineStr">
        <is>
          <t>Paediatrics</t>
        </is>
      </c>
      <c r="E291" s="13" t="n">
        <v>79</v>
      </c>
      <c r="F291" s="13" t="n">
        <v>76</v>
      </c>
      <c r="G291" s="13" t="n">
        <v>240</v>
      </c>
      <c r="H291" s="13" t="n">
        <v>330</v>
      </c>
      <c r="I291" s="14" t="n">
        <v>3.16</v>
      </c>
      <c r="J291" s="62" t="n">
        <v>5.9</v>
      </c>
      <c r="K291" s="13" t="n">
        <v>66</v>
      </c>
      <c r="L291" s="13" t="n">
        <v>3</v>
      </c>
    </row>
    <row r="292">
      <c r="A292" s="11" t="inlineStr">
        <is>
          <t>HOSP-0291</t>
        </is>
      </c>
      <c r="B292" s="61" t="n">
        <v>45809</v>
      </c>
      <c r="C292" s="11" t="inlineStr">
        <is>
          <t>Site 09</t>
        </is>
      </c>
      <c r="D292" s="11" t="inlineStr">
        <is>
          <t>Cardiology</t>
        </is>
      </c>
      <c r="E292" s="13" t="n">
        <v>96</v>
      </c>
      <c r="F292" s="13" t="n">
        <v>92</v>
      </c>
      <c r="G292" s="13" t="n">
        <v>484</v>
      </c>
      <c r="H292" s="13" t="n">
        <v>660</v>
      </c>
      <c r="I292" s="14" t="n">
        <v>5.26</v>
      </c>
      <c r="J292" s="62" t="n">
        <v>11.9</v>
      </c>
      <c r="K292" s="13" t="n">
        <v>85</v>
      </c>
      <c r="L292" s="13" t="n">
        <v>9</v>
      </c>
    </row>
    <row r="293">
      <c r="A293" s="11" t="inlineStr">
        <is>
          <t>HOSP-0292</t>
        </is>
      </c>
      <c r="B293" s="61" t="n">
        <v>45809</v>
      </c>
      <c r="C293" s="11" t="inlineStr">
        <is>
          <t>Site 09</t>
        </is>
      </c>
      <c r="D293" s="11" t="inlineStr">
        <is>
          <t>Orthopaedics</t>
        </is>
      </c>
      <c r="E293" s="13" t="n">
        <v>67</v>
      </c>
      <c r="F293" s="13" t="n">
        <v>63</v>
      </c>
      <c r="G293" s="13" t="n">
        <v>409</v>
      </c>
      <c r="H293" s="13" t="n">
        <v>570</v>
      </c>
      <c r="I293" s="14" t="n">
        <v>6.49</v>
      </c>
      <c r="J293" s="62" t="n">
        <v>12</v>
      </c>
      <c r="K293" s="13" t="n">
        <v>57</v>
      </c>
      <c r="L293" s="13" t="n">
        <v>8</v>
      </c>
    </row>
    <row r="294">
      <c r="A294" s="11" t="inlineStr">
        <is>
          <t>HOSP-0293</t>
        </is>
      </c>
      <c r="B294" s="61" t="n">
        <v>45809</v>
      </c>
      <c r="C294" s="11" t="inlineStr">
        <is>
          <t>Site 09</t>
        </is>
      </c>
      <c r="D294" s="11" t="inlineStr">
        <is>
          <t>General Medicine</t>
        </is>
      </c>
      <c r="E294" s="13" t="n">
        <v>130</v>
      </c>
      <c r="F294" s="13" t="n">
        <v>125</v>
      </c>
      <c r="G294" s="13" t="n">
        <v>533</v>
      </c>
      <c r="H294" s="13" t="n">
        <v>720</v>
      </c>
      <c r="I294" s="14" t="n">
        <v>4.26</v>
      </c>
      <c r="J294" s="62" t="n">
        <v>6.3</v>
      </c>
      <c r="K294" s="13" t="n">
        <v>112</v>
      </c>
      <c r="L294" s="13" t="n">
        <v>7</v>
      </c>
    </row>
    <row r="295">
      <c r="A295" s="11" t="inlineStr">
        <is>
          <t>HOSP-0294</t>
        </is>
      </c>
      <c r="B295" s="61" t="n">
        <v>45809</v>
      </c>
      <c r="C295" s="11" t="inlineStr">
        <is>
          <t>Site 09</t>
        </is>
      </c>
      <c r="D295" s="11" t="inlineStr">
        <is>
          <t>Nephrology</t>
        </is>
      </c>
      <c r="E295" s="13" t="n">
        <v>47</v>
      </c>
      <c r="F295" s="13" t="n">
        <v>51</v>
      </c>
      <c r="G295" s="13" t="n">
        <v>363</v>
      </c>
      <c r="H295" s="13" t="n">
        <v>540</v>
      </c>
      <c r="I295" s="14" t="n">
        <v>7.12</v>
      </c>
      <c r="J295" s="62" t="n">
        <v>13.3</v>
      </c>
      <c r="K295" s="13" t="n">
        <v>47</v>
      </c>
      <c r="L295" s="13" t="n">
        <v>4</v>
      </c>
    </row>
    <row r="296">
      <c r="A296" s="11" t="inlineStr">
        <is>
          <t>HOSP-0295</t>
        </is>
      </c>
      <c r="B296" s="61" t="n">
        <v>45809</v>
      </c>
      <c r="C296" s="11" t="inlineStr">
        <is>
          <t>Site 09</t>
        </is>
      </c>
      <c r="D296" s="11" t="inlineStr">
        <is>
          <t>Paediatrics</t>
        </is>
      </c>
      <c r="E296" s="13" t="n">
        <v>77</v>
      </c>
      <c r="F296" s="13" t="n">
        <v>83</v>
      </c>
      <c r="G296" s="13" t="n">
        <v>258</v>
      </c>
      <c r="H296" s="13" t="n">
        <v>330</v>
      </c>
      <c r="I296" s="14" t="n">
        <v>3.11</v>
      </c>
      <c r="J296" s="62" t="n">
        <v>6.4</v>
      </c>
      <c r="K296" s="13" t="n">
        <v>75</v>
      </c>
      <c r="L296" s="13" t="n">
        <v>4</v>
      </c>
    </row>
    <row r="297">
      <c r="A297" s="11" t="inlineStr">
        <is>
          <t>HOSP-0296</t>
        </is>
      </c>
      <c r="B297" s="61" t="n">
        <v>45809</v>
      </c>
      <c r="C297" s="11" t="inlineStr">
        <is>
          <t>Site 10</t>
        </is>
      </c>
      <c r="D297" s="11" t="inlineStr">
        <is>
          <t>Cardiology</t>
        </is>
      </c>
      <c r="E297" s="13" t="n">
        <v>96</v>
      </c>
      <c r="F297" s="13" t="n">
        <v>93</v>
      </c>
      <c r="G297" s="13" t="n">
        <v>469</v>
      </c>
      <c r="H297" s="13" t="n">
        <v>660</v>
      </c>
      <c r="I297" s="14" t="n">
        <v>5.04</v>
      </c>
      <c r="J297" s="62" t="n">
        <v>12.1</v>
      </c>
      <c r="K297" s="13" t="n">
        <v>85</v>
      </c>
      <c r="L297" s="13" t="n">
        <v>6</v>
      </c>
    </row>
    <row r="298">
      <c r="A298" s="11" t="inlineStr">
        <is>
          <t>HOSP-0297</t>
        </is>
      </c>
      <c r="B298" s="61" t="n">
        <v>45809</v>
      </c>
      <c r="C298" s="11" t="inlineStr">
        <is>
          <t>Site 10</t>
        </is>
      </c>
      <c r="D298" s="11" t="inlineStr">
        <is>
          <t>Orthopaedics</t>
        </is>
      </c>
      <c r="E298" s="13" t="n">
        <v>71</v>
      </c>
      <c r="F298" s="13" t="n">
        <v>75</v>
      </c>
      <c r="G298" s="13" t="n">
        <v>468</v>
      </c>
      <c r="H298" s="13" t="n">
        <v>570</v>
      </c>
      <c r="I298" s="14" t="n">
        <v>6.24</v>
      </c>
      <c r="J298" s="62" t="n">
        <v>11</v>
      </c>
      <c r="K298" s="13" t="n">
        <v>69</v>
      </c>
      <c r="L298" s="13" t="n">
        <v>9</v>
      </c>
    </row>
    <row r="299">
      <c r="A299" s="11" t="inlineStr">
        <is>
          <t>HOSP-0298</t>
        </is>
      </c>
      <c r="B299" s="61" t="n">
        <v>45809</v>
      </c>
      <c r="C299" s="11" t="inlineStr">
        <is>
          <t>Site 10</t>
        </is>
      </c>
      <c r="D299" s="11" t="inlineStr">
        <is>
          <t>General Medicine</t>
        </is>
      </c>
      <c r="E299" s="13" t="n">
        <v>169</v>
      </c>
      <c r="F299" s="13" t="n">
        <v>165</v>
      </c>
      <c r="G299" s="13" t="n">
        <v>616</v>
      </c>
      <c r="H299" s="13" t="n">
        <v>720</v>
      </c>
      <c r="I299" s="14" t="n">
        <v>3.73</v>
      </c>
      <c r="J299" s="62" t="n">
        <v>7.9</v>
      </c>
      <c r="K299" s="13" t="n">
        <v>148</v>
      </c>
      <c r="L299" s="13" t="n">
        <v>11</v>
      </c>
    </row>
    <row r="300">
      <c r="A300" s="11" t="inlineStr">
        <is>
          <t>HOSP-0299</t>
        </is>
      </c>
      <c r="B300" s="61" t="n">
        <v>45809</v>
      </c>
      <c r="C300" s="11" t="inlineStr">
        <is>
          <t>Site 10</t>
        </is>
      </c>
      <c r="D300" s="11" t="inlineStr">
        <is>
          <t>Nephrology</t>
        </is>
      </c>
      <c r="E300" s="13" t="n">
        <v>51</v>
      </c>
      <c r="F300" s="13" t="n">
        <v>52</v>
      </c>
      <c r="G300" s="13" t="n">
        <v>406</v>
      </c>
      <c r="H300" s="13" t="n">
        <v>540</v>
      </c>
      <c r="I300" s="14" t="n">
        <v>7.81</v>
      </c>
      <c r="J300" s="62" t="n">
        <v>12.9</v>
      </c>
      <c r="K300" s="13" t="n">
        <v>48</v>
      </c>
      <c r="L300" s="13" t="n">
        <v>4</v>
      </c>
    </row>
    <row r="301">
      <c r="A301" s="11" t="inlineStr">
        <is>
          <t>HOSP-0300</t>
        </is>
      </c>
      <c r="B301" s="61" t="n">
        <v>45809</v>
      </c>
      <c r="C301" s="11" t="inlineStr">
        <is>
          <t>Site 10</t>
        </is>
      </c>
      <c r="D301" s="11" t="inlineStr">
        <is>
          <t>Paediatrics</t>
        </is>
      </c>
      <c r="E301" s="13" t="n">
        <v>73</v>
      </c>
      <c r="F301" s="13" t="n">
        <v>72</v>
      </c>
      <c r="G301" s="13" t="n">
        <v>225</v>
      </c>
      <c r="H301" s="13" t="n">
        <v>330</v>
      </c>
      <c r="I301" s="14" t="n">
        <v>3.12</v>
      </c>
      <c r="J301" s="62" t="n">
        <v>6.9</v>
      </c>
      <c r="K301" s="13" t="n">
        <v>66</v>
      </c>
      <c r="L301" s="13" t="n">
        <v>2</v>
      </c>
    </row>
    <row r="302">
      <c r="A302" s="11" t="inlineStr">
        <is>
          <t>HOSP-0301</t>
        </is>
      </c>
      <c r="B302" s="61" t="n">
        <v>45839</v>
      </c>
      <c r="C302" s="11" t="inlineStr">
        <is>
          <t>Site 01</t>
        </is>
      </c>
      <c r="D302" s="11" t="inlineStr">
        <is>
          <t>Cardiology</t>
        </is>
      </c>
      <c r="E302" s="13" t="n">
        <v>125</v>
      </c>
      <c r="F302" s="13" t="n">
        <v>122</v>
      </c>
      <c r="G302" s="13" t="n">
        <v>607</v>
      </c>
      <c r="H302" s="13" t="n">
        <v>682</v>
      </c>
      <c r="I302" s="14" t="n">
        <v>4.98</v>
      </c>
      <c r="J302" s="62" t="n">
        <v>10.1</v>
      </c>
      <c r="K302" s="13" t="n">
        <v>107</v>
      </c>
      <c r="L302" s="13" t="n">
        <v>7</v>
      </c>
    </row>
    <row r="303">
      <c r="A303" s="11" t="inlineStr">
        <is>
          <t>HOSP-0302</t>
        </is>
      </c>
      <c r="B303" s="61" t="n">
        <v>45839</v>
      </c>
      <c r="C303" s="11" t="inlineStr">
        <is>
          <t>Site 01</t>
        </is>
      </c>
      <c r="D303" s="11" t="inlineStr">
        <is>
          <t>Orthopaedics</t>
        </is>
      </c>
      <c r="E303" s="13" t="n">
        <v>80</v>
      </c>
      <c r="F303" s="13" t="n">
        <v>82</v>
      </c>
      <c r="G303" s="13" t="n">
        <v>537</v>
      </c>
      <c r="H303" s="13" t="n">
        <v>589</v>
      </c>
      <c r="I303" s="14" t="n">
        <v>6.55</v>
      </c>
      <c r="J303" s="62" t="n">
        <v>12.9</v>
      </c>
      <c r="K303" s="13" t="n">
        <v>73</v>
      </c>
      <c r="L303" s="13" t="n">
        <v>9</v>
      </c>
    </row>
    <row r="304">
      <c r="A304" s="11" t="inlineStr">
        <is>
          <t>HOSP-0303</t>
        </is>
      </c>
      <c r="B304" s="61" t="n">
        <v>45839</v>
      </c>
      <c r="C304" s="11" t="inlineStr">
        <is>
          <t>Site 01</t>
        </is>
      </c>
      <c r="D304" s="11" t="inlineStr">
        <is>
          <t>General Medicine</t>
        </is>
      </c>
      <c r="E304" s="13" t="n">
        <v>170</v>
      </c>
      <c r="F304" s="13" t="n">
        <v>174</v>
      </c>
      <c r="G304" s="13" t="n">
        <v>732</v>
      </c>
      <c r="H304" s="13" t="n">
        <v>744</v>
      </c>
      <c r="I304" s="14" t="n">
        <v>4.21</v>
      </c>
      <c r="J304" s="62" t="n">
        <v>7.5</v>
      </c>
      <c r="K304" s="13" t="n">
        <v>160</v>
      </c>
      <c r="L304" s="13" t="n">
        <v>9</v>
      </c>
    </row>
    <row r="305">
      <c r="A305" s="11" t="inlineStr">
        <is>
          <t>HOSP-0304</t>
        </is>
      </c>
      <c r="B305" s="61" t="n">
        <v>45839</v>
      </c>
      <c r="C305" s="11" t="inlineStr">
        <is>
          <t>Site 01</t>
        </is>
      </c>
      <c r="D305" s="11" t="inlineStr">
        <is>
          <t>Nephrology</t>
        </is>
      </c>
      <c r="E305" s="13" t="n">
        <v>55</v>
      </c>
      <c r="F305" s="13" t="n">
        <v>54</v>
      </c>
      <c r="G305" s="13" t="n">
        <v>408</v>
      </c>
      <c r="H305" s="13" t="n">
        <v>558</v>
      </c>
      <c r="I305" s="14" t="n">
        <v>7.56</v>
      </c>
      <c r="J305" s="62" t="n">
        <v>10.6</v>
      </c>
      <c r="K305" s="13" t="n">
        <v>49</v>
      </c>
      <c r="L305" s="13" t="n">
        <v>4</v>
      </c>
    </row>
    <row r="306">
      <c r="A306" s="11" t="inlineStr">
        <is>
          <t>HOSP-0305</t>
        </is>
      </c>
      <c r="B306" s="61" t="n">
        <v>45839</v>
      </c>
      <c r="C306" s="11" t="inlineStr">
        <is>
          <t>Site 01</t>
        </is>
      </c>
      <c r="D306" s="11" t="inlineStr">
        <is>
          <t>Paediatrics</t>
        </is>
      </c>
      <c r="E306" s="13" t="n">
        <v>110</v>
      </c>
      <c r="F306" s="13" t="n">
        <v>114</v>
      </c>
      <c r="G306" s="13" t="n">
        <v>336</v>
      </c>
      <c r="H306" s="13" t="n">
        <v>341</v>
      </c>
      <c r="I306" s="14" t="n">
        <v>2.95</v>
      </c>
      <c r="J306" s="62" t="n">
        <v>6.1</v>
      </c>
      <c r="K306" s="13" t="n">
        <v>104</v>
      </c>
      <c r="L306" s="13" t="n">
        <v>3</v>
      </c>
    </row>
    <row r="307">
      <c r="A307" s="11" t="inlineStr">
        <is>
          <t>HOSP-0306</t>
        </is>
      </c>
      <c r="B307" s="61" t="n">
        <v>45839</v>
      </c>
      <c r="C307" s="11" t="inlineStr">
        <is>
          <t>Site 02</t>
        </is>
      </c>
      <c r="D307" s="11" t="inlineStr">
        <is>
          <t>Cardiology</t>
        </is>
      </c>
      <c r="E307" s="13" t="n">
        <v>108</v>
      </c>
      <c r="F307" s="13" t="n">
        <v>104</v>
      </c>
      <c r="G307" s="13" t="n">
        <v>603</v>
      </c>
      <c r="H307" s="13" t="n">
        <v>682</v>
      </c>
      <c r="I307" s="14" t="n">
        <v>5.8</v>
      </c>
      <c r="J307" s="62" t="n">
        <v>9.9</v>
      </c>
      <c r="K307" s="13" t="n">
        <v>95</v>
      </c>
      <c r="L307" s="13" t="n">
        <v>9</v>
      </c>
    </row>
    <row r="308">
      <c r="A308" s="11" t="inlineStr">
        <is>
          <t>HOSP-0307</t>
        </is>
      </c>
      <c r="B308" s="61" t="n">
        <v>45839</v>
      </c>
      <c r="C308" s="11" t="inlineStr">
        <is>
          <t>Site 02</t>
        </is>
      </c>
      <c r="D308" s="11" t="inlineStr">
        <is>
          <t>Orthopaedics</t>
        </is>
      </c>
      <c r="E308" s="13" t="n">
        <v>75</v>
      </c>
      <c r="F308" s="13" t="n">
        <v>79</v>
      </c>
      <c r="G308" s="13" t="n">
        <v>416</v>
      </c>
      <c r="H308" s="13" t="n">
        <v>589</v>
      </c>
      <c r="I308" s="14" t="n">
        <v>5.27</v>
      </c>
      <c r="J308" s="62" t="n">
        <v>15.1</v>
      </c>
      <c r="K308" s="13" t="n">
        <v>69</v>
      </c>
      <c r="L308" s="13" t="n">
        <v>7</v>
      </c>
    </row>
    <row r="309">
      <c r="A309" s="11" t="inlineStr">
        <is>
          <t>HOSP-0308</t>
        </is>
      </c>
      <c r="B309" s="61" t="n">
        <v>45839</v>
      </c>
      <c r="C309" s="11" t="inlineStr">
        <is>
          <t>Site 02</t>
        </is>
      </c>
      <c r="D309" s="11" t="inlineStr">
        <is>
          <t>General Medicine</t>
        </is>
      </c>
      <c r="E309" s="13" t="n">
        <v>153</v>
      </c>
      <c r="F309" s="13" t="n">
        <v>157</v>
      </c>
      <c r="G309" s="13" t="n">
        <v>606</v>
      </c>
      <c r="H309" s="13" t="n">
        <v>744</v>
      </c>
      <c r="I309" s="14" t="n">
        <v>3.86</v>
      </c>
      <c r="J309" s="62" t="n">
        <v>7.5</v>
      </c>
      <c r="K309" s="13" t="n">
        <v>137</v>
      </c>
      <c r="L309" s="13" t="n">
        <v>6</v>
      </c>
    </row>
    <row r="310">
      <c r="A310" s="11" t="inlineStr">
        <is>
          <t>HOSP-0309</t>
        </is>
      </c>
      <c r="B310" s="61" t="n">
        <v>45839</v>
      </c>
      <c r="C310" s="11" t="inlineStr">
        <is>
          <t>Site 02</t>
        </is>
      </c>
      <c r="D310" s="11" t="inlineStr">
        <is>
          <t>Nephrology</t>
        </is>
      </c>
      <c r="E310" s="13" t="n">
        <v>60</v>
      </c>
      <c r="F310" s="13" t="n">
        <v>56</v>
      </c>
      <c r="G310" s="13" t="n">
        <v>419</v>
      </c>
      <c r="H310" s="13" t="n">
        <v>558</v>
      </c>
      <c r="I310" s="14" t="n">
        <v>7.48</v>
      </c>
      <c r="J310" s="62" t="n">
        <v>15.4</v>
      </c>
      <c r="K310" s="13" t="n">
        <v>48</v>
      </c>
      <c r="L310" s="13" t="n">
        <v>4</v>
      </c>
    </row>
    <row r="311">
      <c r="A311" s="11" t="inlineStr">
        <is>
          <t>HOSP-0310</t>
        </is>
      </c>
      <c r="B311" s="61" t="n">
        <v>45839</v>
      </c>
      <c r="C311" s="11" t="inlineStr">
        <is>
          <t>Site 02</t>
        </is>
      </c>
      <c r="D311" s="11" t="inlineStr">
        <is>
          <t>Paediatrics</t>
        </is>
      </c>
      <c r="E311" s="13" t="n">
        <v>80</v>
      </c>
      <c r="F311" s="13" t="n">
        <v>75</v>
      </c>
      <c r="G311" s="13" t="n">
        <v>225</v>
      </c>
      <c r="H311" s="13" t="n">
        <v>341</v>
      </c>
      <c r="I311" s="14" t="n">
        <v>3</v>
      </c>
      <c r="J311" s="62" t="n">
        <v>6.6</v>
      </c>
      <c r="K311" s="13" t="n">
        <v>68</v>
      </c>
      <c r="L311" s="13" t="n">
        <v>3</v>
      </c>
    </row>
    <row r="312">
      <c r="A312" s="11" t="inlineStr">
        <is>
          <t>HOSP-0311</t>
        </is>
      </c>
      <c r="B312" s="61" t="n">
        <v>45839</v>
      </c>
      <c r="C312" s="11" t="inlineStr">
        <is>
          <t>Site 03</t>
        </is>
      </c>
      <c r="D312" s="11" t="inlineStr">
        <is>
          <t>Cardiology</t>
        </is>
      </c>
      <c r="E312" s="13" t="n">
        <v>120</v>
      </c>
      <c r="F312" s="13" t="n">
        <v>119</v>
      </c>
      <c r="G312" s="13" t="n">
        <v>565</v>
      </c>
      <c r="H312" s="13" t="n">
        <v>682</v>
      </c>
      <c r="I312" s="14" t="n">
        <v>4.75</v>
      </c>
      <c r="J312" s="62" t="n">
        <v>9.800000000000001</v>
      </c>
      <c r="K312" s="13" t="n">
        <v>106</v>
      </c>
      <c r="L312" s="13" t="n">
        <v>6</v>
      </c>
    </row>
    <row r="313">
      <c r="A313" s="11" t="inlineStr">
        <is>
          <t>HOSP-0312</t>
        </is>
      </c>
      <c r="B313" s="61" t="n">
        <v>45839</v>
      </c>
      <c r="C313" s="11" t="inlineStr">
        <is>
          <t>Site 03</t>
        </is>
      </c>
      <c r="D313" s="11" t="inlineStr">
        <is>
          <t>Orthopaedics</t>
        </is>
      </c>
      <c r="E313" s="13" t="n">
        <v>84</v>
      </c>
      <c r="F313" s="13" t="n">
        <v>84</v>
      </c>
      <c r="G313" s="13" t="n">
        <v>487</v>
      </c>
      <c r="H313" s="13" t="n">
        <v>589</v>
      </c>
      <c r="I313" s="14" t="n">
        <v>5.8</v>
      </c>
      <c r="J313" s="62" t="n">
        <v>14.2</v>
      </c>
      <c r="K313" s="13" t="n">
        <v>73</v>
      </c>
      <c r="L313" s="13" t="n">
        <v>11</v>
      </c>
    </row>
    <row r="314">
      <c r="A314" s="11" t="inlineStr">
        <is>
          <t>HOSP-0313</t>
        </is>
      </c>
      <c r="B314" s="61" t="n">
        <v>45839</v>
      </c>
      <c r="C314" s="11" t="inlineStr">
        <is>
          <t>Site 03</t>
        </is>
      </c>
      <c r="D314" s="11" t="inlineStr">
        <is>
          <t>General Medicine</t>
        </is>
      </c>
      <c r="E314" s="13" t="n">
        <v>177</v>
      </c>
      <c r="F314" s="13" t="n">
        <v>179</v>
      </c>
      <c r="G314" s="13" t="n">
        <v>731</v>
      </c>
      <c r="H314" s="13" t="n">
        <v>744</v>
      </c>
      <c r="I314" s="14" t="n">
        <v>4.08</v>
      </c>
      <c r="J314" s="62" t="n">
        <v>7.4</v>
      </c>
      <c r="K314" s="13" t="n">
        <v>165</v>
      </c>
      <c r="L314" s="13" t="n">
        <v>9</v>
      </c>
    </row>
    <row r="315">
      <c r="A315" s="11" t="inlineStr">
        <is>
          <t>HOSP-0314</t>
        </is>
      </c>
      <c r="B315" s="61" t="n">
        <v>45839</v>
      </c>
      <c r="C315" s="11" t="inlineStr">
        <is>
          <t>Site 03</t>
        </is>
      </c>
      <c r="D315" s="11" t="inlineStr">
        <is>
          <t>Nephrology</t>
        </is>
      </c>
      <c r="E315" s="13" t="n">
        <v>67</v>
      </c>
      <c r="F315" s="13" t="n">
        <v>65</v>
      </c>
      <c r="G315" s="13" t="n">
        <v>483</v>
      </c>
      <c r="H315" s="13" t="n">
        <v>558</v>
      </c>
      <c r="I315" s="14" t="n">
        <v>7.43</v>
      </c>
      <c r="J315" s="62" t="n">
        <v>11.6</v>
      </c>
      <c r="K315" s="13" t="n">
        <v>57</v>
      </c>
      <c r="L315" s="13" t="n">
        <v>5</v>
      </c>
    </row>
    <row r="316">
      <c r="A316" s="11" t="inlineStr">
        <is>
          <t>HOSP-0315</t>
        </is>
      </c>
      <c r="B316" s="61" t="n">
        <v>45839</v>
      </c>
      <c r="C316" s="11" t="inlineStr">
        <is>
          <t>Site 03</t>
        </is>
      </c>
      <c r="D316" s="11" t="inlineStr">
        <is>
          <t>Paediatrics</t>
        </is>
      </c>
      <c r="E316" s="13" t="n">
        <v>104</v>
      </c>
      <c r="F316" s="13" t="n">
        <v>102</v>
      </c>
      <c r="G316" s="13" t="n">
        <v>330</v>
      </c>
      <c r="H316" s="13" t="n">
        <v>341</v>
      </c>
      <c r="I316" s="14" t="n">
        <v>3.24</v>
      </c>
      <c r="J316" s="62" t="n">
        <v>5.7</v>
      </c>
      <c r="K316" s="13" t="n">
        <v>89</v>
      </c>
      <c r="L316" s="13" t="n">
        <v>4</v>
      </c>
    </row>
    <row r="317">
      <c r="A317" s="11" t="inlineStr">
        <is>
          <t>HOSP-0316</t>
        </is>
      </c>
      <c r="B317" s="61" t="n">
        <v>45839</v>
      </c>
      <c r="C317" s="11" t="inlineStr">
        <is>
          <t>Site 04</t>
        </is>
      </c>
      <c r="D317" s="11" t="inlineStr">
        <is>
          <t>Cardiology</t>
        </is>
      </c>
      <c r="E317" s="13" t="n">
        <v>108</v>
      </c>
      <c r="F317" s="13" t="n">
        <v>109</v>
      </c>
      <c r="G317" s="13" t="n">
        <v>545</v>
      </c>
      <c r="H317" s="13" t="n">
        <v>682</v>
      </c>
      <c r="I317" s="14" t="n">
        <v>5</v>
      </c>
      <c r="J317" s="62" t="n">
        <v>9.199999999999999</v>
      </c>
      <c r="K317" s="13" t="n">
        <v>98</v>
      </c>
      <c r="L317" s="13" t="n">
        <v>8</v>
      </c>
    </row>
    <row r="318">
      <c r="A318" s="11" t="inlineStr">
        <is>
          <t>HOSP-0317</t>
        </is>
      </c>
      <c r="B318" s="61" t="n">
        <v>45839</v>
      </c>
      <c r="C318" s="11" t="inlineStr">
        <is>
          <t>Site 04</t>
        </is>
      </c>
      <c r="D318" s="11" t="inlineStr">
        <is>
          <t>Orthopaedics</t>
        </is>
      </c>
      <c r="E318" s="13" t="n">
        <v>75</v>
      </c>
      <c r="F318" s="13" t="n">
        <v>81</v>
      </c>
      <c r="G318" s="13" t="n">
        <v>467</v>
      </c>
      <c r="H318" s="13" t="n">
        <v>589</v>
      </c>
      <c r="I318" s="14" t="n">
        <v>5.77</v>
      </c>
      <c r="J318" s="62" t="n">
        <v>18.7</v>
      </c>
      <c r="K318" s="13" t="n">
        <v>71</v>
      </c>
      <c r="L318" s="13" t="n">
        <v>9</v>
      </c>
    </row>
    <row r="319">
      <c r="A319" s="11" t="inlineStr">
        <is>
          <t>HOSP-0318</t>
        </is>
      </c>
      <c r="B319" s="61" t="n">
        <v>45839</v>
      </c>
      <c r="C319" s="11" t="inlineStr">
        <is>
          <t>Site 04</t>
        </is>
      </c>
      <c r="D319" s="11" t="inlineStr">
        <is>
          <t>General Medicine</t>
        </is>
      </c>
      <c r="E319" s="13" t="n">
        <v>158</v>
      </c>
      <c r="F319" s="13" t="n">
        <v>154</v>
      </c>
      <c r="G319" s="13" t="n">
        <v>619</v>
      </c>
      <c r="H319" s="13" t="n">
        <v>744</v>
      </c>
      <c r="I319" s="14" t="n">
        <v>4.02</v>
      </c>
      <c r="J319" s="62" t="n">
        <v>6.8</v>
      </c>
      <c r="K319" s="13" t="n">
        <v>139</v>
      </c>
      <c r="L319" s="13" t="n">
        <v>10</v>
      </c>
    </row>
    <row r="320">
      <c r="A320" s="11" t="inlineStr">
        <is>
          <t>HOSP-0319</t>
        </is>
      </c>
      <c r="B320" s="61" t="n">
        <v>45839</v>
      </c>
      <c r="C320" s="11" t="inlineStr">
        <is>
          <t>Site 04</t>
        </is>
      </c>
      <c r="D320" s="11" t="inlineStr">
        <is>
          <t>Nephrology</t>
        </is>
      </c>
      <c r="E320" s="13" t="n">
        <v>61</v>
      </c>
      <c r="F320" s="13" t="n">
        <v>67</v>
      </c>
      <c r="G320" s="13" t="n">
        <v>529</v>
      </c>
      <c r="H320" s="13" t="n">
        <v>558</v>
      </c>
      <c r="I320" s="14" t="n">
        <v>7.9</v>
      </c>
      <c r="J320" s="62" t="n">
        <v>10.8</v>
      </c>
      <c r="K320" s="13" t="n">
        <v>62</v>
      </c>
      <c r="L320" s="13" t="n">
        <v>6</v>
      </c>
    </row>
    <row r="321">
      <c r="A321" s="11" t="inlineStr">
        <is>
          <t>HOSP-0320</t>
        </is>
      </c>
      <c r="B321" s="61" t="n">
        <v>45839</v>
      </c>
      <c r="C321" s="11" t="inlineStr">
        <is>
          <t>Site 04</t>
        </is>
      </c>
      <c r="D321" s="11" t="inlineStr">
        <is>
          <t>Paediatrics</t>
        </is>
      </c>
      <c r="E321" s="13" t="n">
        <v>93</v>
      </c>
      <c r="F321" s="13" t="n">
        <v>93</v>
      </c>
      <c r="G321" s="13" t="n">
        <v>246</v>
      </c>
      <c r="H321" s="13" t="n">
        <v>341</v>
      </c>
      <c r="I321" s="14" t="n">
        <v>2.65</v>
      </c>
      <c r="J321" s="62" t="n">
        <v>5.7</v>
      </c>
      <c r="K321" s="13" t="n">
        <v>84</v>
      </c>
      <c r="L321" s="13" t="n">
        <v>5</v>
      </c>
    </row>
    <row r="322">
      <c r="A322" s="11" t="inlineStr">
        <is>
          <t>HOSP-0321</t>
        </is>
      </c>
      <c r="B322" s="61" t="n">
        <v>45839</v>
      </c>
      <c r="C322" s="11" t="inlineStr">
        <is>
          <t>Site 05</t>
        </is>
      </c>
      <c r="D322" s="11" t="inlineStr">
        <is>
          <t>Cardiology</t>
        </is>
      </c>
      <c r="E322" s="13" t="n">
        <v>102</v>
      </c>
      <c r="F322" s="13" t="n">
        <v>102</v>
      </c>
      <c r="G322" s="13" t="n">
        <v>540</v>
      </c>
      <c r="H322" s="13" t="n">
        <v>682</v>
      </c>
      <c r="I322" s="14" t="n">
        <v>5.29</v>
      </c>
      <c r="J322" s="62" t="n">
        <v>11.8</v>
      </c>
      <c r="K322" s="13" t="n">
        <v>88</v>
      </c>
      <c r="L322" s="13" t="n">
        <v>7</v>
      </c>
    </row>
    <row r="323">
      <c r="A323" s="11" t="inlineStr">
        <is>
          <t>HOSP-0322</t>
        </is>
      </c>
      <c r="B323" s="61" t="n">
        <v>45839</v>
      </c>
      <c r="C323" s="11" t="inlineStr">
        <is>
          <t>Site 05</t>
        </is>
      </c>
      <c r="D323" s="11" t="inlineStr">
        <is>
          <t>Orthopaedics</t>
        </is>
      </c>
      <c r="E323" s="13" t="n">
        <v>69</v>
      </c>
      <c r="F323" s="13" t="n">
        <v>68</v>
      </c>
      <c r="G323" s="13" t="n">
        <v>407</v>
      </c>
      <c r="H323" s="13" t="n">
        <v>589</v>
      </c>
      <c r="I323" s="14" t="n">
        <v>5.99</v>
      </c>
      <c r="J323" s="62" t="n">
        <v>10.9</v>
      </c>
      <c r="K323" s="13" t="n">
        <v>59</v>
      </c>
      <c r="L323" s="13" t="n">
        <v>7</v>
      </c>
    </row>
    <row r="324">
      <c r="A324" s="11" t="inlineStr">
        <is>
          <t>HOSP-0323</t>
        </is>
      </c>
      <c r="B324" s="61" t="n">
        <v>45839</v>
      </c>
      <c r="C324" s="11" t="inlineStr">
        <is>
          <t>Site 05</t>
        </is>
      </c>
      <c r="D324" s="11" t="inlineStr">
        <is>
          <t>General Medicine</t>
        </is>
      </c>
      <c r="E324" s="13" t="n">
        <v>134</v>
      </c>
      <c r="F324" s="13" t="n">
        <v>129</v>
      </c>
      <c r="G324" s="13" t="n">
        <v>502</v>
      </c>
      <c r="H324" s="13" t="n">
        <v>744</v>
      </c>
      <c r="I324" s="14" t="n">
        <v>3.89</v>
      </c>
      <c r="J324" s="62" t="n">
        <v>8</v>
      </c>
      <c r="K324" s="13" t="n">
        <v>114</v>
      </c>
      <c r="L324" s="13" t="n">
        <v>6</v>
      </c>
    </row>
    <row r="325">
      <c r="A325" s="11" t="inlineStr">
        <is>
          <t>HOSP-0324</t>
        </is>
      </c>
      <c r="B325" s="61" t="n">
        <v>45839</v>
      </c>
      <c r="C325" s="11" t="inlineStr">
        <is>
          <t>Site 05</t>
        </is>
      </c>
      <c r="D325" s="11" t="inlineStr">
        <is>
          <t>Nephrology</t>
        </is>
      </c>
      <c r="E325" s="13" t="n">
        <v>48</v>
      </c>
      <c r="F325" s="13" t="n">
        <v>54</v>
      </c>
      <c r="G325" s="13" t="n">
        <v>424</v>
      </c>
      <c r="H325" s="13" t="n">
        <v>558</v>
      </c>
      <c r="I325" s="14" t="n">
        <v>7.85</v>
      </c>
      <c r="J325" s="62" t="n">
        <v>9.6</v>
      </c>
      <c r="K325" s="13" t="n">
        <v>50</v>
      </c>
      <c r="L325" s="13" t="n">
        <v>4</v>
      </c>
    </row>
    <row r="326">
      <c r="A326" s="11" t="inlineStr">
        <is>
          <t>HOSP-0325</t>
        </is>
      </c>
      <c r="B326" s="61" t="n">
        <v>45839</v>
      </c>
      <c r="C326" s="11" t="inlineStr">
        <is>
          <t>Site 05</t>
        </is>
      </c>
      <c r="D326" s="11" t="inlineStr">
        <is>
          <t>Paediatrics</t>
        </is>
      </c>
      <c r="E326" s="13" t="n">
        <v>77</v>
      </c>
      <c r="F326" s="13" t="n">
        <v>77</v>
      </c>
      <c r="G326" s="13" t="n">
        <v>211</v>
      </c>
      <c r="H326" s="13" t="n">
        <v>341</v>
      </c>
      <c r="I326" s="14" t="n">
        <v>2.74</v>
      </c>
      <c r="J326" s="62" t="n">
        <v>5</v>
      </c>
      <c r="K326" s="13" t="n">
        <v>68</v>
      </c>
      <c r="L326" s="13" t="n">
        <v>3</v>
      </c>
    </row>
    <row r="327">
      <c r="A327" s="11" t="inlineStr">
        <is>
          <t>HOSP-0326</t>
        </is>
      </c>
      <c r="B327" s="61" t="n">
        <v>45839</v>
      </c>
      <c r="C327" s="11" t="inlineStr">
        <is>
          <t>Site 06</t>
        </is>
      </c>
      <c r="D327" s="11" t="inlineStr">
        <is>
          <t>Cardiology</t>
        </is>
      </c>
      <c r="E327" s="13" t="n">
        <v>125</v>
      </c>
      <c r="F327" s="13" t="n">
        <v>130</v>
      </c>
      <c r="G327" s="13" t="n">
        <v>657</v>
      </c>
      <c r="H327" s="13" t="n">
        <v>682</v>
      </c>
      <c r="I327" s="14" t="n">
        <v>5.05</v>
      </c>
      <c r="J327" s="62" t="n">
        <v>11.3</v>
      </c>
      <c r="K327" s="13" t="n">
        <v>122</v>
      </c>
      <c r="L327" s="13" t="n">
        <v>11</v>
      </c>
    </row>
    <row r="328">
      <c r="A328" s="11" t="inlineStr">
        <is>
          <t>HOSP-0327</t>
        </is>
      </c>
      <c r="B328" s="61" t="n">
        <v>45839</v>
      </c>
      <c r="C328" s="11" t="inlineStr">
        <is>
          <t>Site 06</t>
        </is>
      </c>
      <c r="D328" s="11" t="inlineStr">
        <is>
          <t>Orthopaedics</t>
        </is>
      </c>
      <c r="E328" s="13" t="n">
        <v>87</v>
      </c>
      <c r="F328" s="13" t="n">
        <v>90</v>
      </c>
      <c r="G328" s="13" t="n">
        <v>574</v>
      </c>
      <c r="H328" s="13" t="n">
        <v>589</v>
      </c>
      <c r="I328" s="14" t="n">
        <v>6.38</v>
      </c>
      <c r="J328" s="62" t="n">
        <v>16.1</v>
      </c>
      <c r="K328" s="13" t="n">
        <v>81</v>
      </c>
      <c r="L328" s="13" t="n">
        <v>9</v>
      </c>
    </row>
    <row r="329">
      <c r="A329" s="11" t="inlineStr">
        <is>
          <t>HOSP-0328</t>
        </is>
      </c>
      <c r="B329" s="61" t="n">
        <v>45839</v>
      </c>
      <c r="C329" s="11" t="inlineStr">
        <is>
          <t>Site 06</t>
        </is>
      </c>
      <c r="D329" s="11" t="inlineStr">
        <is>
          <t>General Medicine</t>
        </is>
      </c>
      <c r="E329" s="13" t="n">
        <v>180</v>
      </c>
      <c r="F329" s="13" t="n">
        <v>185</v>
      </c>
      <c r="G329" s="13" t="n">
        <v>736</v>
      </c>
      <c r="H329" s="13" t="n">
        <v>744</v>
      </c>
      <c r="I329" s="14" t="n">
        <v>3.98</v>
      </c>
      <c r="J329" s="62" t="n">
        <v>7.2</v>
      </c>
      <c r="K329" s="13" t="n">
        <v>173</v>
      </c>
      <c r="L329" s="13" t="n">
        <v>12</v>
      </c>
    </row>
    <row r="330">
      <c r="A330" s="11" t="inlineStr">
        <is>
          <t>HOSP-0329</t>
        </is>
      </c>
      <c r="B330" s="61" t="n">
        <v>45839</v>
      </c>
      <c r="C330" s="11" t="inlineStr">
        <is>
          <t>Site 06</t>
        </is>
      </c>
      <c r="D330" s="11" t="inlineStr">
        <is>
          <t>Nephrology</t>
        </is>
      </c>
      <c r="E330" s="13" t="n">
        <v>65</v>
      </c>
      <c r="F330" s="13" t="n">
        <v>59</v>
      </c>
      <c r="G330" s="13" t="n">
        <v>472</v>
      </c>
      <c r="H330" s="13" t="n">
        <v>558</v>
      </c>
      <c r="I330" s="14" t="n">
        <v>8</v>
      </c>
      <c r="J330" s="62" t="n">
        <v>13.4</v>
      </c>
      <c r="K330" s="13" t="n">
        <v>53</v>
      </c>
      <c r="L330" s="13" t="n">
        <v>5</v>
      </c>
    </row>
    <row r="331">
      <c r="A331" s="11" t="inlineStr">
        <is>
          <t>HOSP-0330</t>
        </is>
      </c>
      <c r="B331" s="61" t="n">
        <v>45839</v>
      </c>
      <c r="C331" s="11" t="inlineStr">
        <is>
          <t>Site 06</t>
        </is>
      </c>
      <c r="D331" s="11" t="inlineStr">
        <is>
          <t>Paediatrics</t>
        </is>
      </c>
      <c r="E331" s="13" t="n">
        <v>98</v>
      </c>
      <c r="F331" s="13" t="n">
        <v>96</v>
      </c>
      <c r="G331" s="13" t="n">
        <v>324</v>
      </c>
      <c r="H331" s="13" t="n">
        <v>341</v>
      </c>
      <c r="I331" s="14" t="n">
        <v>3.38</v>
      </c>
      <c r="J331" s="62" t="n">
        <v>5.8</v>
      </c>
      <c r="K331" s="13" t="n">
        <v>85</v>
      </c>
      <c r="L331" s="13" t="n">
        <v>4</v>
      </c>
    </row>
    <row r="332">
      <c r="A332" s="11" t="inlineStr">
        <is>
          <t>HOSP-0331</t>
        </is>
      </c>
      <c r="B332" s="61" t="n">
        <v>45839</v>
      </c>
      <c r="C332" s="11" t="inlineStr">
        <is>
          <t>Site 07</t>
        </is>
      </c>
      <c r="D332" s="11" t="inlineStr">
        <is>
          <t>Cardiology</t>
        </is>
      </c>
      <c r="E332" s="13" t="n">
        <v>124</v>
      </c>
      <c r="F332" s="13" t="n">
        <v>124</v>
      </c>
      <c r="G332" s="13" t="n">
        <v>594</v>
      </c>
      <c r="H332" s="13" t="n">
        <v>682</v>
      </c>
      <c r="I332" s="14" t="n">
        <v>4.79</v>
      </c>
      <c r="J332" s="62" t="n">
        <v>7.9</v>
      </c>
      <c r="K332" s="13" t="n">
        <v>114</v>
      </c>
      <c r="L332" s="13" t="n">
        <v>7</v>
      </c>
    </row>
    <row r="333">
      <c r="A333" s="11" t="inlineStr">
        <is>
          <t>HOSP-0332</t>
        </is>
      </c>
      <c r="B333" s="61" t="n">
        <v>45839</v>
      </c>
      <c r="C333" s="11" t="inlineStr">
        <is>
          <t>Site 07</t>
        </is>
      </c>
      <c r="D333" s="11" t="inlineStr">
        <is>
          <t>Orthopaedics</t>
        </is>
      </c>
      <c r="E333" s="13" t="n">
        <v>81</v>
      </c>
      <c r="F333" s="13" t="n">
        <v>86</v>
      </c>
      <c r="G333" s="13" t="n">
        <v>545</v>
      </c>
      <c r="H333" s="13" t="n">
        <v>589</v>
      </c>
      <c r="I333" s="14" t="n">
        <v>6.34</v>
      </c>
      <c r="J333" s="62" t="n">
        <v>12.9</v>
      </c>
      <c r="K333" s="13" t="n">
        <v>78</v>
      </c>
      <c r="L333" s="13" t="n">
        <v>10</v>
      </c>
    </row>
    <row r="334">
      <c r="A334" s="11" t="inlineStr">
        <is>
          <t>HOSP-0333</t>
        </is>
      </c>
      <c r="B334" s="61" t="n">
        <v>45839</v>
      </c>
      <c r="C334" s="11" t="inlineStr">
        <is>
          <t>Site 07</t>
        </is>
      </c>
      <c r="D334" s="11" t="inlineStr">
        <is>
          <t>General Medicine</t>
        </is>
      </c>
      <c r="E334" s="13" t="n">
        <v>174</v>
      </c>
      <c r="F334" s="13" t="n">
        <v>168</v>
      </c>
      <c r="G334" s="13" t="n">
        <v>644</v>
      </c>
      <c r="H334" s="13" t="n">
        <v>744</v>
      </c>
      <c r="I334" s="14" t="n">
        <v>3.83</v>
      </c>
      <c r="J334" s="62" t="n">
        <v>7.8</v>
      </c>
      <c r="K334" s="13" t="n">
        <v>156</v>
      </c>
      <c r="L334" s="13" t="n">
        <v>10</v>
      </c>
    </row>
    <row r="335">
      <c r="A335" s="11" t="inlineStr">
        <is>
          <t>HOSP-0334</t>
        </is>
      </c>
      <c r="B335" s="61" t="n">
        <v>45839</v>
      </c>
      <c r="C335" s="11" t="inlineStr">
        <is>
          <t>Site 07</t>
        </is>
      </c>
      <c r="D335" s="11" t="inlineStr">
        <is>
          <t>Nephrology</t>
        </is>
      </c>
      <c r="E335" s="13" t="n">
        <v>55</v>
      </c>
      <c r="F335" s="13" t="n">
        <v>49</v>
      </c>
      <c r="G335" s="13" t="n">
        <v>397</v>
      </c>
      <c r="H335" s="13" t="n">
        <v>558</v>
      </c>
      <c r="I335" s="14" t="n">
        <v>8.1</v>
      </c>
      <c r="J335" s="62" t="n">
        <v>10.9</v>
      </c>
      <c r="K335" s="13" t="n">
        <v>42</v>
      </c>
      <c r="L335" s="13" t="n">
        <v>4</v>
      </c>
    </row>
    <row r="336">
      <c r="A336" s="11" t="inlineStr">
        <is>
          <t>HOSP-0335</t>
        </is>
      </c>
      <c r="B336" s="61" t="n">
        <v>45839</v>
      </c>
      <c r="C336" s="11" t="inlineStr">
        <is>
          <t>Site 07</t>
        </is>
      </c>
      <c r="D336" s="11" t="inlineStr">
        <is>
          <t>Paediatrics</t>
        </is>
      </c>
      <c r="E336" s="13" t="n">
        <v>96</v>
      </c>
      <c r="F336" s="13" t="n">
        <v>91</v>
      </c>
      <c r="G336" s="13" t="n">
        <v>279</v>
      </c>
      <c r="H336" s="13" t="n">
        <v>341</v>
      </c>
      <c r="I336" s="14" t="n">
        <v>3.07</v>
      </c>
      <c r="J336" s="62" t="n">
        <v>7</v>
      </c>
      <c r="K336" s="13" t="n">
        <v>82</v>
      </c>
      <c r="L336" s="13" t="n">
        <v>4</v>
      </c>
    </row>
    <row r="337">
      <c r="A337" s="11" t="inlineStr">
        <is>
          <t>HOSP-0336</t>
        </is>
      </c>
      <c r="B337" s="61" t="n">
        <v>45839</v>
      </c>
      <c r="C337" s="11" t="inlineStr">
        <is>
          <t>Site 08</t>
        </is>
      </c>
      <c r="D337" s="11" t="inlineStr">
        <is>
          <t>Cardiology</t>
        </is>
      </c>
      <c r="E337" s="13" t="n">
        <v>125</v>
      </c>
      <c r="F337" s="13" t="n">
        <v>119</v>
      </c>
      <c r="G337" s="13" t="n">
        <v>598</v>
      </c>
      <c r="H337" s="13" t="n">
        <v>682</v>
      </c>
      <c r="I337" s="14" t="n">
        <v>5.03</v>
      </c>
      <c r="J337" s="62" t="n">
        <v>9.699999999999999</v>
      </c>
      <c r="K337" s="13" t="n">
        <v>108</v>
      </c>
      <c r="L337" s="13" t="n">
        <v>7</v>
      </c>
    </row>
    <row r="338">
      <c r="A338" s="11" t="inlineStr">
        <is>
          <t>HOSP-0337</t>
        </is>
      </c>
      <c r="B338" s="61" t="n">
        <v>45839</v>
      </c>
      <c r="C338" s="11" t="inlineStr">
        <is>
          <t>Site 08</t>
        </is>
      </c>
      <c r="D338" s="11" t="inlineStr">
        <is>
          <t>Orthopaedics</t>
        </is>
      </c>
      <c r="E338" s="13" t="n">
        <v>73</v>
      </c>
      <c r="F338" s="13" t="n">
        <v>74</v>
      </c>
      <c r="G338" s="13" t="n">
        <v>500</v>
      </c>
      <c r="H338" s="13" t="n">
        <v>589</v>
      </c>
      <c r="I338" s="14" t="n">
        <v>6.76</v>
      </c>
      <c r="J338" s="62" t="n">
        <v>16.4</v>
      </c>
      <c r="K338" s="13" t="n">
        <v>65</v>
      </c>
      <c r="L338" s="13" t="n">
        <v>10</v>
      </c>
    </row>
    <row r="339">
      <c r="A339" s="11" t="inlineStr">
        <is>
          <t>HOSP-0338</t>
        </is>
      </c>
      <c r="B339" s="61" t="n">
        <v>45839</v>
      </c>
      <c r="C339" s="11" t="inlineStr">
        <is>
          <t>Site 08</t>
        </is>
      </c>
      <c r="D339" s="11" t="inlineStr">
        <is>
          <t>General Medicine</t>
        </is>
      </c>
      <c r="E339" s="13" t="n">
        <v>180</v>
      </c>
      <c r="F339" s="13" t="n">
        <v>177</v>
      </c>
      <c r="G339" s="13" t="n">
        <v>689</v>
      </c>
      <c r="H339" s="13" t="n">
        <v>744</v>
      </c>
      <c r="I339" s="14" t="n">
        <v>3.89</v>
      </c>
      <c r="J339" s="62" t="n">
        <v>8.1</v>
      </c>
      <c r="K339" s="13" t="n">
        <v>158</v>
      </c>
      <c r="L339" s="13" t="n">
        <v>10</v>
      </c>
    </row>
    <row r="340">
      <c r="A340" s="11" t="inlineStr">
        <is>
          <t>HOSP-0339</t>
        </is>
      </c>
      <c r="B340" s="61" t="n">
        <v>45839</v>
      </c>
      <c r="C340" s="11" t="inlineStr">
        <is>
          <t>Site 08</t>
        </is>
      </c>
      <c r="D340" s="11" t="inlineStr">
        <is>
          <t>Nephrology</t>
        </is>
      </c>
      <c r="E340" s="13" t="n">
        <v>57</v>
      </c>
      <c r="F340" s="13" t="n">
        <v>59</v>
      </c>
      <c r="G340" s="13" t="n">
        <v>417</v>
      </c>
      <c r="H340" s="13" t="n">
        <v>558</v>
      </c>
      <c r="I340" s="14" t="n">
        <v>7.07</v>
      </c>
      <c r="J340" s="62" t="n">
        <v>13.3</v>
      </c>
      <c r="K340" s="13" t="n">
        <v>51</v>
      </c>
      <c r="L340" s="13" t="n">
        <v>4</v>
      </c>
    </row>
    <row r="341">
      <c r="A341" s="11" t="inlineStr">
        <is>
          <t>HOSP-0340</t>
        </is>
      </c>
      <c r="B341" s="61" t="n">
        <v>45839</v>
      </c>
      <c r="C341" s="11" t="inlineStr">
        <is>
          <t>Site 08</t>
        </is>
      </c>
      <c r="D341" s="11" t="inlineStr">
        <is>
          <t>Paediatrics</t>
        </is>
      </c>
      <c r="E341" s="13" t="n">
        <v>87</v>
      </c>
      <c r="F341" s="13" t="n">
        <v>91</v>
      </c>
      <c r="G341" s="13" t="n">
        <v>246</v>
      </c>
      <c r="H341" s="13" t="n">
        <v>341</v>
      </c>
      <c r="I341" s="14" t="n">
        <v>2.7</v>
      </c>
      <c r="J341" s="62" t="n">
        <v>6.3</v>
      </c>
      <c r="K341" s="13" t="n">
        <v>80</v>
      </c>
      <c r="L341" s="13" t="n">
        <v>3</v>
      </c>
    </row>
    <row r="342">
      <c r="A342" s="11" t="inlineStr">
        <is>
          <t>HOSP-0341</t>
        </is>
      </c>
      <c r="B342" s="61" t="n">
        <v>45839</v>
      </c>
      <c r="C342" s="11" t="inlineStr">
        <is>
          <t>Site 09</t>
        </is>
      </c>
      <c r="D342" s="11" t="inlineStr">
        <is>
          <t>Cardiology</t>
        </is>
      </c>
      <c r="E342" s="13" t="n">
        <v>99</v>
      </c>
      <c r="F342" s="13" t="n">
        <v>94</v>
      </c>
      <c r="G342" s="13" t="n">
        <v>457</v>
      </c>
      <c r="H342" s="13" t="n">
        <v>682</v>
      </c>
      <c r="I342" s="14" t="n">
        <v>4.86</v>
      </c>
      <c r="J342" s="62" t="n">
        <v>9.800000000000001</v>
      </c>
      <c r="K342" s="13" t="n">
        <v>82</v>
      </c>
      <c r="L342" s="13" t="n">
        <v>7</v>
      </c>
    </row>
    <row r="343">
      <c r="A343" s="11" t="inlineStr">
        <is>
          <t>HOSP-0342</t>
        </is>
      </c>
      <c r="B343" s="61" t="n">
        <v>45839</v>
      </c>
      <c r="C343" s="11" t="inlineStr">
        <is>
          <t>Site 09</t>
        </is>
      </c>
      <c r="D343" s="11" t="inlineStr">
        <is>
          <t>Orthopaedics</t>
        </is>
      </c>
      <c r="E343" s="13" t="n">
        <v>68</v>
      </c>
      <c r="F343" s="13" t="n">
        <v>64</v>
      </c>
      <c r="G343" s="13" t="n">
        <v>405</v>
      </c>
      <c r="H343" s="13" t="n">
        <v>589</v>
      </c>
      <c r="I343" s="14" t="n">
        <v>6.33</v>
      </c>
      <c r="J343" s="62" t="n">
        <v>12</v>
      </c>
      <c r="K343" s="13" t="n">
        <v>55</v>
      </c>
      <c r="L343" s="13" t="n">
        <v>7</v>
      </c>
    </row>
    <row r="344">
      <c r="A344" s="11" t="inlineStr">
        <is>
          <t>HOSP-0343</t>
        </is>
      </c>
      <c r="B344" s="61" t="n">
        <v>45839</v>
      </c>
      <c r="C344" s="11" t="inlineStr">
        <is>
          <t>Site 09</t>
        </is>
      </c>
      <c r="D344" s="11" t="inlineStr">
        <is>
          <t>General Medicine</t>
        </is>
      </c>
      <c r="E344" s="13" t="n">
        <v>133</v>
      </c>
      <c r="F344" s="13" t="n">
        <v>129</v>
      </c>
      <c r="G344" s="13" t="n">
        <v>492</v>
      </c>
      <c r="H344" s="13" t="n">
        <v>744</v>
      </c>
      <c r="I344" s="14" t="n">
        <v>3.81</v>
      </c>
      <c r="J344" s="62" t="n">
        <v>8.5</v>
      </c>
      <c r="K344" s="13" t="n">
        <v>112</v>
      </c>
      <c r="L344" s="13" t="n">
        <v>3</v>
      </c>
    </row>
    <row r="345">
      <c r="A345" s="11" t="inlineStr">
        <is>
          <t>HOSP-0344</t>
        </is>
      </c>
      <c r="B345" s="61" t="n">
        <v>45839</v>
      </c>
      <c r="C345" s="11" t="inlineStr">
        <is>
          <t>Site 09</t>
        </is>
      </c>
      <c r="D345" s="11" t="inlineStr">
        <is>
          <t>Nephrology</t>
        </is>
      </c>
      <c r="E345" s="13" t="n">
        <v>55</v>
      </c>
      <c r="F345" s="13" t="n">
        <v>60</v>
      </c>
      <c r="G345" s="13" t="n">
        <v>382</v>
      </c>
      <c r="H345" s="13" t="n">
        <v>558</v>
      </c>
      <c r="I345" s="14" t="n">
        <v>6.37</v>
      </c>
      <c r="J345" s="62" t="n">
        <v>11.6</v>
      </c>
      <c r="K345" s="13" t="n">
        <v>54</v>
      </c>
      <c r="L345" s="13" t="n">
        <v>5</v>
      </c>
    </row>
    <row r="346">
      <c r="A346" s="11" t="inlineStr">
        <is>
          <t>HOSP-0345</t>
        </is>
      </c>
      <c r="B346" s="61" t="n">
        <v>45839</v>
      </c>
      <c r="C346" s="11" t="inlineStr">
        <is>
          <t>Site 09</t>
        </is>
      </c>
      <c r="D346" s="11" t="inlineStr">
        <is>
          <t>Paediatrics</t>
        </is>
      </c>
      <c r="E346" s="13" t="n">
        <v>70</v>
      </c>
      <c r="F346" s="13" t="n">
        <v>73</v>
      </c>
      <c r="G346" s="13" t="n">
        <v>240</v>
      </c>
      <c r="H346" s="13" t="n">
        <v>341</v>
      </c>
      <c r="I346" s="14" t="n">
        <v>3.29</v>
      </c>
      <c r="J346" s="62" t="n">
        <v>5</v>
      </c>
      <c r="K346" s="13" t="n">
        <v>66</v>
      </c>
      <c r="L346" s="13" t="n">
        <v>3</v>
      </c>
    </row>
    <row r="347">
      <c r="A347" s="11" t="inlineStr">
        <is>
          <t>HOSP-0346</t>
        </is>
      </c>
      <c r="B347" s="61" t="n">
        <v>45839</v>
      </c>
      <c r="C347" s="11" t="inlineStr">
        <is>
          <t>Site 10</t>
        </is>
      </c>
      <c r="D347" s="11" t="inlineStr">
        <is>
          <t>Cardiology</t>
        </is>
      </c>
      <c r="E347" s="13" t="n">
        <v>98</v>
      </c>
      <c r="F347" s="13" t="n">
        <v>92</v>
      </c>
      <c r="G347" s="13" t="n">
        <v>462</v>
      </c>
      <c r="H347" s="13" t="n">
        <v>682</v>
      </c>
      <c r="I347" s="14" t="n">
        <v>5.02</v>
      </c>
      <c r="J347" s="62" t="n">
        <v>9.199999999999999</v>
      </c>
      <c r="K347" s="13" t="n">
        <v>82</v>
      </c>
      <c r="L347" s="13" t="n">
        <v>7</v>
      </c>
    </row>
    <row r="348">
      <c r="A348" s="11" t="inlineStr">
        <is>
          <t>HOSP-0347</t>
        </is>
      </c>
      <c r="B348" s="61" t="n">
        <v>45839</v>
      </c>
      <c r="C348" s="11" t="inlineStr">
        <is>
          <t>Site 10</t>
        </is>
      </c>
      <c r="D348" s="11" t="inlineStr">
        <is>
          <t>Orthopaedics</t>
        </is>
      </c>
      <c r="E348" s="13" t="n">
        <v>67</v>
      </c>
      <c r="F348" s="13" t="n">
        <v>70</v>
      </c>
      <c r="G348" s="13" t="n">
        <v>405</v>
      </c>
      <c r="H348" s="13" t="n">
        <v>589</v>
      </c>
      <c r="I348" s="14" t="n">
        <v>5.79</v>
      </c>
      <c r="J348" s="62" t="n">
        <v>16.2</v>
      </c>
      <c r="K348" s="13" t="n">
        <v>61</v>
      </c>
      <c r="L348" s="13" t="n">
        <v>9</v>
      </c>
    </row>
    <row r="349">
      <c r="A349" s="11" t="inlineStr">
        <is>
          <t>HOSP-0348</t>
        </is>
      </c>
      <c r="B349" s="61" t="n">
        <v>45839</v>
      </c>
      <c r="C349" s="11" t="inlineStr">
        <is>
          <t>Site 10</t>
        </is>
      </c>
      <c r="D349" s="11" t="inlineStr">
        <is>
          <t>General Medicine</t>
        </is>
      </c>
      <c r="E349" s="13" t="n">
        <v>152</v>
      </c>
      <c r="F349" s="13" t="n">
        <v>152</v>
      </c>
      <c r="G349" s="13" t="n">
        <v>566</v>
      </c>
      <c r="H349" s="13" t="n">
        <v>744</v>
      </c>
      <c r="I349" s="14" t="n">
        <v>3.72</v>
      </c>
      <c r="J349" s="62" t="n">
        <v>7.3</v>
      </c>
      <c r="K349" s="13" t="n">
        <v>138</v>
      </c>
      <c r="L349" s="13" t="n">
        <v>6</v>
      </c>
    </row>
    <row r="350">
      <c r="A350" s="11" t="inlineStr">
        <is>
          <t>HOSP-0349</t>
        </is>
      </c>
      <c r="B350" s="61" t="n">
        <v>45839</v>
      </c>
      <c r="C350" s="11" t="inlineStr">
        <is>
          <t>Site 10</t>
        </is>
      </c>
      <c r="D350" s="11" t="inlineStr">
        <is>
          <t>Nephrology</t>
        </is>
      </c>
      <c r="E350" s="13" t="n">
        <v>56</v>
      </c>
      <c r="F350" s="13" t="n">
        <v>51</v>
      </c>
      <c r="G350" s="13" t="n">
        <v>346</v>
      </c>
      <c r="H350" s="13" t="n">
        <v>558</v>
      </c>
      <c r="I350" s="14" t="n">
        <v>6.78</v>
      </c>
      <c r="J350" s="62" t="n">
        <v>11.9</v>
      </c>
      <c r="K350" s="13" t="n">
        <v>44</v>
      </c>
      <c r="L350" s="13" t="n">
        <v>3</v>
      </c>
    </row>
    <row r="351">
      <c r="A351" s="11" t="inlineStr">
        <is>
          <t>HOSP-0350</t>
        </is>
      </c>
      <c r="B351" s="61" t="n">
        <v>45839</v>
      </c>
      <c r="C351" s="11" t="inlineStr">
        <is>
          <t>Site 10</t>
        </is>
      </c>
      <c r="D351" s="11" t="inlineStr">
        <is>
          <t>Paediatrics</t>
        </is>
      </c>
      <c r="E351" s="13" t="n">
        <v>81</v>
      </c>
      <c r="F351" s="13" t="n">
        <v>84</v>
      </c>
      <c r="G351" s="13" t="n">
        <v>247</v>
      </c>
      <c r="H351" s="13" t="n">
        <v>341</v>
      </c>
      <c r="I351" s="14" t="n">
        <v>2.94</v>
      </c>
      <c r="J351" s="62" t="n">
        <v>8.1</v>
      </c>
      <c r="K351" s="13" t="n">
        <v>77</v>
      </c>
      <c r="L351" s="13" t="n">
        <v>4</v>
      </c>
    </row>
    <row r="352">
      <c r="A352" s="11" t="inlineStr">
        <is>
          <t>HOSP-0351</t>
        </is>
      </c>
      <c r="B352" s="61" t="n">
        <v>45870</v>
      </c>
      <c r="C352" s="11" t="inlineStr">
        <is>
          <t>Site 01</t>
        </is>
      </c>
      <c r="D352" s="11" t="inlineStr">
        <is>
          <t>Cardiology</t>
        </is>
      </c>
      <c r="E352" s="13" t="n">
        <v>105</v>
      </c>
      <c r="F352" s="13" t="n">
        <v>99</v>
      </c>
      <c r="G352" s="13" t="n">
        <v>521</v>
      </c>
      <c r="H352" s="13" t="n">
        <v>682</v>
      </c>
      <c r="I352" s="14" t="n">
        <v>5.26</v>
      </c>
      <c r="J352" s="62" t="n">
        <v>9.199999999999999</v>
      </c>
      <c r="K352" s="13" t="n">
        <v>89</v>
      </c>
      <c r="L352" s="13" t="n">
        <v>6</v>
      </c>
    </row>
    <row r="353">
      <c r="A353" s="11" t="inlineStr">
        <is>
          <t>HOSP-0352</t>
        </is>
      </c>
      <c r="B353" s="61" t="n">
        <v>45870</v>
      </c>
      <c r="C353" s="11" t="inlineStr">
        <is>
          <t>Site 01</t>
        </is>
      </c>
      <c r="D353" s="11" t="inlineStr">
        <is>
          <t>Orthopaedics</t>
        </is>
      </c>
      <c r="E353" s="13" t="n">
        <v>84</v>
      </c>
      <c r="F353" s="13" t="n">
        <v>88</v>
      </c>
      <c r="G353" s="13" t="n">
        <v>518</v>
      </c>
      <c r="H353" s="13" t="n">
        <v>589</v>
      </c>
      <c r="I353" s="14" t="n">
        <v>5.89</v>
      </c>
      <c r="J353" s="62" t="n">
        <v>14.3</v>
      </c>
      <c r="K353" s="13" t="n">
        <v>79</v>
      </c>
      <c r="L353" s="13" t="n">
        <v>10</v>
      </c>
    </row>
    <row r="354">
      <c r="A354" s="11" t="inlineStr">
        <is>
          <t>HOSP-0353</t>
        </is>
      </c>
      <c r="B354" s="61" t="n">
        <v>45870</v>
      </c>
      <c r="C354" s="11" t="inlineStr">
        <is>
          <t>Site 01</t>
        </is>
      </c>
      <c r="D354" s="11" t="inlineStr">
        <is>
          <t>General Medicine</t>
        </is>
      </c>
      <c r="E354" s="13" t="n">
        <v>169</v>
      </c>
      <c r="F354" s="13" t="n">
        <v>165</v>
      </c>
      <c r="G354" s="13" t="n">
        <v>679</v>
      </c>
      <c r="H354" s="13" t="n">
        <v>744</v>
      </c>
      <c r="I354" s="14" t="n">
        <v>4.12</v>
      </c>
      <c r="J354" s="62" t="n">
        <v>8.199999999999999</v>
      </c>
      <c r="K354" s="13" t="n">
        <v>144</v>
      </c>
      <c r="L354" s="13" t="n">
        <v>8</v>
      </c>
    </row>
    <row r="355">
      <c r="A355" s="11" t="inlineStr">
        <is>
          <t>HOSP-0354</t>
        </is>
      </c>
      <c r="B355" s="61" t="n">
        <v>45870</v>
      </c>
      <c r="C355" s="11" t="inlineStr">
        <is>
          <t>Site 01</t>
        </is>
      </c>
      <c r="D355" s="11" t="inlineStr">
        <is>
          <t>Nephrology</t>
        </is>
      </c>
      <c r="E355" s="13" t="n">
        <v>67</v>
      </c>
      <c r="F355" s="13" t="n">
        <v>69</v>
      </c>
      <c r="G355" s="13" t="n">
        <v>531</v>
      </c>
      <c r="H355" s="13" t="n">
        <v>558</v>
      </c>
      <c r="I355" s="14" t="n">
        <v>7.7</v>
      </c>
      <c r="J355" s="62" t="n">
        <v>12</v>
      </c>
      <c r="K355" s="13" t="n">
        <v>60</v>
      </c>
      <c r="L355" s="13" t="n">
        <v>7</v>
      </c>
    </row>
    <row r="356">
      <c r="A356" s="11" t="inlineStr">
        <is>
          <t>HOSP-0355</t>
        </is>
      </c>
      <c r="B356" s="61" t="n">
        <v>45870</v>
      </c>
      <c r="C356" s="11" t="inlineStr">
        <is>
          <t>Site 01</t>
        </is>
      </c>
      <c r="D356" s="11" t="inlineStr">
        <is>
          <t>Paediatrics</t>
        </is>
      </c>
      <c r="E356" s="13" t="n">
        <v>88</v>
      </c>
      <c r="F356" s="13" t="n">
        <v>86</v>
      </c>
      <c r="G356" s="13" t="n">
        <v>236</v>
      </c>
      <c r="H356" s="13" t="n">
        <v>341</v>
      </c>
      <c r="I356" s="14" t="n">
        <v>2.74</v>
      </c>
      <c r="J356" s="62" t="n">
        <v>6.7</v>
      </c>
      <c r="K356" s="13" t="n">
        <v>76</v>
      </c>
      <c r="L356" s="13" t="n">
        <v>4</v>
      </c>
    </row>
    <row r="357">
      <c r="A357" s="11" t="inlineStr">
        <is>
          <t>HOSP-0356</t>
        </is>
      </c>
      <c r="B357" s="61" t="n">
        <v>45870</v>
      </c>
      <c r="C357" s="11" t="inlineStr">
        <is>
          <t>Site 02</t>
        </is>
      </c>
      <c r="D357" s="11" t="inlineStr">
        <is>
          <t>Cardiology</t>
        </is>
      </c>
      <c r="E357" s="13" t="n">
        <v>111</v>
      </c>
      <c r="F357" s="13" t="n">
        <v>113</v>
      </c>
      <c r="G357" s="13" t="n">
        <v>568</v>
      </c>
      <c r="H357" s="13" t="n">
        <v>682</v>
      </c>
      <c r="I357" s="14" t="n">
        <v>5.03</v>
      </c>
      <c r="J357" s="62" t="n">
        <v>10.5</v>
      </c>
      <c r="K357" s="13" t="n">
        <v>102</v>
      </c>
      <c r="L357" s="13" t="n">
        <v>7</v>
      </c>
    </row>
    <row r="358">
      <c r="A358" s="11" t="inlineStr">
        <is>
          <t>HOSP-0357</t>
        </is>
      </c>
      <c r="B358" s="61" t="n">
        <v>45870</v>
      </c>
      <c r="C358" s="11" t="inlineStr">
        <is>
          <t>Site 02</t>
        </is>
      </c>
      <c r="D358" s="11" t="inlineStr">
        <is>
          <t>Orthopaedics</t>
        </is>
      </c>
      <c r="E358" s="13" t="n">
        <v>76</v>
      </c>
      <c r="F358" s="13" t="n">
        <v>78</v>
      </c>
      <c r="G358" s="13" t="n">
        <v>454</v>
      </c>
      <c r="H358" s="13" t="n">
        <v>589</v>
      </c>
      <c r="I358" s="14" t="n">
        <v>5.82</v>
      </c>
      <c r="J358" s="62" t="n">
        <v>12.6</v>
      </c>
      <c r="K358" s="13" t="n">
        <v>68</v>
      </c>
      <c r="L358" s="13" t="n">
        <v>9</v>
      </c>
    </row>
    <row r="359">
      <c r="A359" s="11" t="inlineStr">
        <is>
          <t>HOSP-0358</t>
        </is>
      </c>
      <c r="B359" s="61" t="n">
        <v>45870</v>
      </c>
      <c r="C359" s="11" t="inlineStr">
        <is>
          <t>Site 02</t>
        </is>
      </c>
      <c r="D359" s="11" t="inlineStr">
        <is>
          <t>General Medicine</t>
        </is>
      </c>
      <c r="E359" s="13" t="n">
        <v>162</v>
      </c>
      <c r="F359" s="13" t="n">
        <v>162</v>
      </c>
      <c r="G359" s="13" t="n">
        <v>657</v>
      </c>
      <c r="H359" s="13" t="n">
        <v>744</v>
      </c>
      <c r="I359" s="14" t="n">
        <v>4.06</v>
      </c>
      <c r="J359" s="62" t="n">
        <v>8.9</v>
      </c>
      <c r="K359" s="13" t="n">
        <v>149</v>
      </c>
      <c r="L359" s="13" t="n">
        <v>10</v>
      </c>
    </row>
    <row r="360">
      <c r="A360" s="11" t="inlineStr">
        <is>
          <t>HOSP-0359</t>
        </is>
      </c>
      <c r="B360" s="61" t="n">
        <v>45870</v>
      </c>
      <c r="C360" s="11" t="inlineStr">
        <is>
          <t>Site 02</t>
        </is>
      </c>
      <c r="D360" s="11" t="inlineStr">
        <is>
          <t>Nephrology</t>
        </is>
      </c>
      <c r="E360" s="13" t="n">
        <v>58</v>
      </c>
      <c r="F360" s="13" t="n">
        <v>58</v>
      </c>
      <c r="G360" s="13" t="n">
        <v>438</v>
      </c>
      <c r="H360" s="13" t="n">
        <v>558</v>
      </c>
      <c r="I360" s="14" t="n">
        <v>7.55</v>
      </c>
      <c r="J360" s="62" t="n">
        <v>15.8</v>
      </c>
      <c r="K360" s="13" t="n">
        <v>50</v>
      </c>
      <c r="L360" s="13" t="n">
        <v>4</v>
      </c>
    </row>
    <row r="361">
      <c r="A361" s="11" t="inlineStr">
        <is>
          <t>HOSP-0360</t>
        </is>
      </c>
      <c r="B361" s="61" t="n">
        <v>45870</v>
      </c>
      <c r="C361" s="11" t="inlineStr">
        <is>
          <t>Site 02</t>
        </is>
      </c>
      <c r="D361" s="11" t="inlineStr">
        <is>
          <t>Paediatrics</t>
        </is>
      </c>
      <c r="E361" s="13" t="n">
        <v>91</v>
      </c>
      <c r="F361" s="13" t="n">
        <v>93</v>
      </c>
      <c r="G361" s="13" t="n">
        <v>293</v>
      </c>
      <c r="H361" s="13" t="n">
        <v>341</v>
      </c>
      <c r="I361" s="14" t="n">
        <v>3.15</v>
      </c>
      <c r="J361" s="62" t="n">
        <v>5.4</v>
      </c>
      <c r="K361" s="13" t="n">
        <v>87</v>
      </c>
      <c r="L361" s="13" t="n">
        <v>4</v>
      </c>
    </row>
    <row r="362">
      <c r="A362" s="11" t="inlineStr">
        <is>
          <t>HOSP-0361</t>
        </is>
      </c>
      <c r="B362" s="61" t="n">
        <v>45870</v>
      </c>
      <c r="C362" s="11" t="inlineStr">
        <is>
          <t>Site 03</t>
        </is>
      </c>
      <c r="D362" s="11" t="inlineStr">
        <is>
          <t>Cardiology</t>
        </is>
      </c>
      <c r="E362" s="13" t="n">
        <v>114</v>
      </c>
      <c r="F362" s="13" t="n">
        <v>109</v>
      </c>
      <c r="G362" s="13" t="n">
        <v>588</v>
      </c>
      <c r="H362" s="13" t="n">
        <v>682</v>
      </c>
      <c r="I362" s="14" t="n">
        <v>5.39</v>
      </c>
      <c r="J362" s="62" t="n">
        <v>8.9</v>
      </c>
      <c r="K362" s="13" t="n">
        <v>102</v>
      </c>
      <c r="L362" s="13" t="n">
        <v>9</v>
      </c>
    </row>
    <row r="363">
      <c r="A363" s="11" t="inlineStr">
        <is>
          <t>HOSP-0362</t>
        </is>
      </c>
      <c r="B363" s="61" t="n">
        <v>45870</v>
      </c>
      <c r="C363" s="11" t="inlineStr">
        <is>
          <t>Site 03</t>
        </is>
      </c>
      <c r="D363" s="11" t="inlineStr">
        <is>
          <t>Orthopaedics</t>
        </is>
      </c>
      <c r="E363" s="13" t="n">
        <v>88</v>
      </c>
      <c r="F363" s="13" t="n">
        <v>92</v>
      </c>
      <c r="G363" s="13" t="n">
        <v>561</v>
      </c>
      <c r="H363" s="13" t="n">
        <v>589</v>
      </c>
      <c r="I363" s="14" t="n">
        <v>6.1</v>
      </c>
      <c r="J363" s="62" t="n">
        <v>14</v>
      </c>
      <c r="K363" s="13" t="n">
        <v>80</v>
      </c>
      <c r="L363" s="13" t="n">
        <v>11</v>
      </c>
    </row>
    <row r="364">
      <c r="A364" s="11" t="inlineStr">
        <is>
          <t>HOSP-0363</t>
        </is>
      </c>
      <c r="B364" s="61" t="n">
        <v>45870</v>
      </c>
      <c r="C364" s="11" t="inlineStr">
        <is>
          <t>Site 03</t>
        </is>
      </c>
      <c r="D364" s="11" t="inlineStr">
        <is>
          <t>General Medicine</t>
        </is>
      </c>
      <c r="E364" s="13" t="n">
        <v>180</v>
      </c>
      <c r="F364" s="13" t="n">
        <v>183</v>
      </c>
      <c r="G364" s="13" t="n">
        <v>697</v>
      </c>
      <c r="H364" s="13" t="n">
        <v>744</v>
      </c>
      <c r="I364" s="14" t="n">
        <v>3.81</v>
      </c>
      <c r="J364" s="62" t="n">
        <v>8.1</v>
      </c>
      <c r="K364" s="13" t="n">
        <v>165</v>
      </c>
      <c r="L364" s="13" t="n">
        <v>8</v>
      </c>
    </row>
    <row r="365">
      <c r="A365" s="11" t="inlineStr">
        <is>
          <t>HOSP-0364</t>
        </is>
      </c>
      <c r="B365" s="61" t="n">
        <v>45870</v>
      </c>
      <c r="C365" s="11" t="inlineStr">
        <is>
          <t>Site 03</t>
        </is>
      </c>
      <c r="D365" s="11" t="inlineStr">
        <is>
          <t>Nephrology</t>
        </is>
      </c>
      <c r="E365" s="13" t="n">
        <v>58</v>
      </c>
      <c r="F365" s="13" t="n">
        <v>58</v>
      </c>
      <c r="G365" s="13" t="n">
        <v>468</v>
      </c>
      <c r="H365" s="13" t="n">
        <v>558</v>
      </c>
      <c r="I365" s="14" t="n">
        <v>8.07</v>
      </c>
      <c r="J365" s="62" t="n">
        <v>8.6</v>
      </c>
      <c r="K365" s="13" t="n">
        <v>52</v>
      </c>
      <c r="L365" s="13" t="n">
        <v>4</v>
      </c>
    </row>
    <row r="366">
      <c r="A366" s="11" t="inlineStr">
        <is>
          <t>HOSP-0365</t>
        </is>
      </c>
      <c r="B366" s="61" t="n">
        <v>45870</v>
      </c>
      <c r="C366" s="11" t="inlineStr">
        <is>
          <t>Site 03</t>
        </is>
      </c>
      <c r="D366" s="11" t="inlineStr">
        <is>
          <t>Paediatrics</t>
        </is>
      </c>
      <c r="E366" s="13" t="n">
        <v>109</v>
      </c>
      <c r="F366" s="13" t="n">
        <v>105</v>
      </c>
      <c r="G366" s="13" t="n">
        <v>338</v>
      </c>
      <c r="H366" s="13" t="n">
        <v>341</v>
      </c>
      <c r="I366" s="14" t="n">
        <v>3.22</v>
      </c>
      <c r="J366" s="62" t="n">
        <v>6.2</v>
      </c>
      <c r="K366" s="13" t="n">
        <v>94</v>
      </c>
      <c r="L366" s="13" t="n">
        <v>5</v>
      </c>
    </row>
    <row r="367">
      <c r="A367" s="11" t="inlineStr">
        <is>
          <t>HOSP-0366</t>
        </is>
      </c>
      <c r="B367" s="61" t="n">
        <v>45870</v>
      </c>
      <c r="C367" s="11" t="inlineStr">
        <is>
          <t>Site 04</t>
        </is>
      </c>
      <c r="D367" s="11" t="inlineStr">
        <is>
          <t>Cardiology</t>
        </is>
      </c>
      <c r="E367" s="13" t="n">
        <v>114</v>
      </c>
      <c r="F367" s="13" t="n">
        <v>110</v>
      </c>
      <c r="G367" s="13" t="n">
        <v>606</v>
      </c>
      <c r="H367" s="13" t="n">
        <v>682</v>
      </c>
      <c r="I367" s="14" t="n">
        <v>5.51</v>
      </c>
      <c r="J367" s="62" t="n">
        <v>9.199999999999999</v>
      </c>
      <c r="K367" s="13" t="n">
        <v>97</v>
      </c>
      <c r="L367" s="13" t="n">
        <v>9</v>
      </c>
    </row>
    <row r="368">
      <c r="A368" s="11" t="inlineStr">
        <is>
          <t>HOSP-0367</t>
        </is>
      </c>
      <c r="B368" s="61" t="n">
        <v>45870</v>
      </c>
      <c r="C368" s="11" t="inlineStr">
        <is>
          <t>Site 04</t>
        </is>
      </c>
      <c r="D368" s="11" t="inlineStr">
        <is>
          <t>Orthopaedics</t>
        </is>
      </c>
      <c r="E368" s="13" t="n">
        <v>88</v>
      </c>
      <c r="F368" s="13" t="n">
        <v>85</v>
      </c>
      <c r="G368" s="13" t="n">
        <v>495</v>
      </c>
      <c r="H368" s="13" t="n">
        <v>589</v>
      </c>
      <c r="I368" s="14" t="n">
        <v>5.82</v>
      </c>
      <c r="J368" s="62" t="n">
        <v>11.7</v>
      </c>
      <c r="K368" s="13" t="n">
        <v>79</v>
      </c>
      <c r="L368" s="13" t="n">
        <v>11</v>
      </c>
    </row>
    <row r="369">
      <c r="A369" s="11" t="inlineStr">
        <is>
          <t>HOSP-0368</t>
        </is>
      </c>
      <c r="B369" s="61" t="n">
        <v>45870</v>
      </c>
      <c r="C369" s="11" t="inlineStr">
        <is>
          <t>Site 04</t>
        </is>
      </c>
      <c r="D369" s="11" t="inlineStr">
        <is>
          <t>General Medicine</t>
        </is>
      </c>
      <c r="E369" s="13" t="n">
        <v>174</v>
      </c>
      <c r="F369" s="13" t="n">
        <v>177</v>
      </c>
      <c r="G369" s="13" t="n">
        <v>712</v>
      </c>
      <c r="H369" s="13" t="n">
        <v>744</v>
      </c>
      <c r="I369" s="14" t="n">
        <v>4.02</v>
      </c>
      <c r="J369" s="62" t="n">
        <v>6.9</v>
      </c>
      <c r="K369" s="13" t="n">
        <v>153</v>
      </c>
      <c r="L369" s="13" t="n">
        <v>7</v>
      </c>
    </row>
    <row r="370">
      <c r="A370" s="11" t="inlineStr">
        <is>
          <t>HOSP-0369</t>
        </is>
      </c>
      <c r="B370" s="61" t="n">
        <v>45870</v>
      </c>
      <c r="C370" s="11" t="inlineStr">
        <is>
          <t>Site 04</t>
        </is>
      </c>
      <c r="D370" s="11" t="inlineStr">
        <is>
          <t>Nephrology</t>
        </is>
      </c>
      <c r="E370" s="13" t="n">
        <v>67</v>
      </c>
      <c r="F370" s="13" t="n">
        <v>73</v>
      </c>
      <c r="G370" s="13" t="n">
        <v>547</v>
      </c>
      <c r="H370" s="13" t="n">
        <v>558</v>
      </c>
      <c r="I370" s="14" t="n">
        <v>7.49</v>
      </c>
      <c r="J370" s="62" t="n">
        <v>11.8</v>
      </c>
      <c r="K370" s="13" t="n">
        <v>66</v>
      </c>
      <c r="L370" s="13" t="n">
        <v>5</v>
      </c>
    </row>
    <row r="371">
      <c r="A371" s="11" t="inlineStr">
        <is>
          <t>HOSP-0370</t>
        </is>
      </c>
      <c r="B371" s="61" t="n">
        <v>45870</v>
      </c>
      <c r="C371" s="11" t="inlineStr">
        <is>
          <t>Site 04</t>
        </is>
      </c>
      <c r="D371" s="11" t="inlineStr">
        <is>
          <t>Paediatrics</t>
        </is>
      </c>
      <c r="E371" s="13" t="n">
        <v>88</v>
      </c>
      <c r="F371" s="13" t="n">
        <v>85</v>
      </c>
      <c r="G371" s="13" t="n">
        <v>241</v>
      </c>
      <c r="H371" s="13" t="n">
        <v>341</v>
      </c>
      <c r="I371" s="14" t="n">
        <v>2.84</v>
      </c>
      <c r="J371" s="62" t="n">
        <v>7.8</v>
      </c>
      <c r="K371" s="13" t="n">
        <v>74</v>
      </c>
      <c r="L371" s="13" t="n">
        <v>4</v>
      </c>
    </row>
    <row r="372">
      <c r="A372" s="11" t="inlineStr">
        <is>
          <t>HOSP-0371</t>
        </is>
      </c>
      <c r="B372" s="61" t="n">
        <v>45870</v>
      </c>
      <c r="C372" s="11" t="inlineStr">
        <is>
          <t>Site 05</t>
        </is>
      </c>
      <c r="D372" s="11" t="inlineStr">
        <is>
          <t>Cardiology</t>
        </is>
      </c>
      <c r="E372" s="13" t="n">
        <v>96</v>
      </c>
      <c r="F372" s="13" t="n">
        <v>100</v>
      </c>
      <c r="G372" s="13" t="n">
        <v>550</v>
      </c>
      <c r="H372" s="13" t="n">
        <v>682</v>
      </c>
      <c r="I372" s="14" t="n">
        <v>5.5</v>
      </c>
      <c r="J372" s="62" t="n">
        <v>10.5</v>
      </c>
      <c r="K372" s="13" t="n">
        <v>93</v>
      </c>
      <c r="L372" s="13" t="n">
        <v>7</v>
      </c>
    </row>
    <row r="373">
      <c r="A373" s="11" t="inlineStr">
        <is>
          <t>HOSP-0372</t>
        </is>
      </c>
      <c r="B373" s="61" t="n">
        <v>45870</v>
      </c>
      <c r="C373" s="11" t="inlineStr">
        <is>
          <t>Site 05</t>
        </is>
      </c>
      <c r="D373" s="11" t="inlineStr">
        <is>
          <t>Orthopaedics</t>
        </is>
      </c>
      <c r="E373" s="13" t="n">
        <v>68</v>
      </c>
      <c r="F373" s="13" t="n">
        <v>64</v>
      </c>
      <c r="G373" s="13" t="n">
        <v>357</v>
      </c>
      <c r="H373" s="13" t="n">
        <v>589</v>
      </c>
      <c r="I373" s="14" t="n">
        <v>5.58</v>
      </c>
      <c r="J373" s="62" t="n">
        <v>10.7</v>
      </c>
      <c r="K373" s="13" t="n">
        <v>56</v>
      </c>
      <c r="L373" s="13" t="n">
        <v>7</v>
      </c>
    </row>
    <row r="374">
      <c r="A374" s="11" t="inlineStr">
        <is>
          <t>HOSP-0373</t>
        </is>
      </c>
      <c r="B374" s="61" t="n">
        <v>45870</v>
      </c>
      <c r="C374" s="11" t="inlineStr">
        <is>
          <t>Site 05</t>
        </is>
      </c>
      <c r="D374" s="11" t="inlineStr">
        <is>
          <t>General Medicine</t>
        </is>
      </c>
      <c r="E374" s="13" t="n">
        <v>127</v>
      </c>
      <c r="F374" s="13" t="n">
        <v>132</v>
      </c>
      <c r="G374" s="13" t="n">
        <v>530</v>
      </c>
      <c r="H374" s="13" t="n">
        <v>744</v>
      </c>
      <c r="I374" s="14" t="n">
        <v>4.02</v>
      </c>
      <c r="J374" s="62" t="n">
        <v>5.9</v>
      </c>
      <c r="K374" s="13" t="n">
        <v>117</v>
      </c>
      <c r="L374" s="13" t="n">
        <v>8</v>
      </c>
    </row>
    <row r="375">
      <c r="A375" s="11" t="inlineStr">
        <is>
          <t>HOSP-0374</t>
        </is>
      </c>
      <c r="B375" s="61" t="n">
        <v>45870</v>
      </c>
      <c r="C375" s="11" t="inlineStr">
        <is>
          <t>Site 05</t>
        </is>
      </c>
      <c r="D375" s="11" t="inlineStr">
        <is>
          <t>Nephrology</t>
        </is>
      </c>
      <c r="E375" s="13" t="n">
        <v>53</v>
      </c>
      <c r="F375" s="13" t="n">
        <v>51</v>
      </c>
      <c r="G375" s="13" t="n">
        <v>370</v>
      </c>
      <c r="H375" s="13" t="n">
        <v>558</v>
      </c>
      <c r="I375" s="14" t="n">
        <v>7.25</v>
      </c>
      <c r="J375" s="62" t="n">
        <v>12.7</v>
      </c>
      <c r="K375" s="13" t="n">
        <v>48</v>
      </c>
      <c r="L375" s="13" t="n">
        <v>5</v>
      </c>
    </row>
    <row r="376">
      <c r="A376" s="11" t="inlineStr">
        <is>
          <t>HOSP-0375</t>
        </is>
      </c>
      <c r="B376" s="61" t="n">
        <v>45870</v>
      </c>
      <c r="C376" s="11" t="inlineStr">
        <is>
          <t>Site 05</t>
        </is>
      </c>
      <c r="D376" s="11" t="inlineStr">
        <is>
          <t>Paediatrics</t>
        </is>
      </c>
      <c r="E376" s="13" t="n">
        <v>79</v>
      </c>
      <c r="F376" s="13" t="n">
        <v>83</v>
      </c>
      <c r="G376" s="13" t="n">
        <v>248</v>
      </c>
      <c r="H376" s="13" t="n">
        <v>341</v>
      </c>
      <c r="I376" s="14" t="n">
        <v>2.99</v>
      </c>
      <c r="J376" s="62" t="n">
        <v>6.9</v>
      </c>
      <c r="K376" s="13" t="n">
        <v>76</v>
      </c>
      <c r="L376" s="13" t="n">
        <v>4</v>
      </c>
    </row>
    <row r="377">
      <c r="A377" s="11" t="inlineStr">
        <is>
          <t>HOSP-0376</t>
        </is>
      </c>
      <c r="B377" s="61" t="n">
        <v>45870</v>
      </c>
      <c r="C377" s="11" t="inlineStr">
        <is>
          <t>Site 06</t>
        </is>
      </c>
      <c r="D377" s="11" t="inlineStr">
        <is>
          <t>Cardiology</t>
        </is>
      </c>
      <c r="E377" s="13" t="n">
        <v>128</v>
      </c>
      <c r="F377" s="13" t="n">
        <v>128</v>
      </c>
      <c r="G377" s="13" t="n">
        <v>667</v>
      </c>
      <c r="H377" s="13" t="n">
        <v>682</v>
      </c>
      <c r="I377" s="14" t="n">
        <v>5.21</v>
      </c>
      <c r="J377" s="62" t="n">
        <v>11.5</v>
      </c>
      <c r="K377" s="13" t="n">
        <v>113</v>
      </c>
      <c r="L377" s="13" t="n">
        <v>8</v>
      </c>
    </row>
    <row r="378">
      <c r="A378" s="11" t="inlineStr">
        <is>
          <t>HOSP-0377</t>
        </is>
      </c>
      <c r="B378" s="61" t="n">
        <v>45870</v>
      </c>
      <c r="C378" s="11" t="inlineStr">
        <is>
          <t>Site 06</t>
        </is>
      </c>
      <c r="D378" s="11" t="inlineStr">
        <is>
          <t>Orthopaedics</t>
        </is>
      </c>
      <c r="E378" s="13" t="n">
        <v>79</v>
      </c>
      <c r="F378" s="13" t="n">
        <v>85</v>
      </c>
      <c r="G378" s="13" t="n">
        <v>526</v>
      </c>
      <c r="H378" s="13" t="n">
        <v>589</v>
      </c>
      <c r="I378" s="14" t="n">
        <v>6.19</v>
      </c>
      <c r="J378" s="62" t="n">
        <v>11.1</v>
      </c>
      <c r="K378" s="13" t="n">
        <v>78</v>
      </c>
      <c r="L378" s="13" t="n">
        <v>12</v>
      </c>
    </row>
    <row r="379">
      <c r="A379" s="11" t="inlineStr">
        <is>
          <t>HOSP-0378</t>
        </is>
      </c>
      <c r="B379" s="61" t="n">
        <v>45870</v>
      </c>
      <c r="C379" s="11" t="inlineStr">
        <is>
          <t>Site 06</t>
        </is>
      </c>
      <c r="D379" s="11" t="inlineStr">
        <is>
          <t>General Medicine</t>
        </is>
      </c>
      <c r="E379" s="13" t="n">
        <v>178</v>
      </c>
      <c r="F379" s="13" t="n">
        <v>184</v>
      </c>
      <c r="G379" s="13" t="n">
        <v>713</v>
      </c>
      <c r="H379" s="13" t="n">
        <v>744</v>
      </c>
      <c r="I379" s="14" t="n">
        <v>3.88</v>
      </c>
      <c r="J379" s="62" t="n">
        <v>9.300000000000001</v>
      </c>
      <c r="K379" s="13" t="n">
        <v>171</v>
      </c>
      <c r="L379" s="13" t="n">
        <v>9</v>
      </c>
    </row>
    <row r="380">
      <c r="A380" s="11" t="inlineStr">
        <is>
          <t>HOSP-0379</t>
        </is>
      </c>
      <c r="B380" s="61" t="n">
        <v>45870</v>
      </c>
      <c r="C380" s="11" t="inlineStr">
        <is>
          <t>Site 06</t>
        </is>
      </c>
      <c r="D380" s="11" t="inlineStr">
        <is>
          <t>Nephrology</t>
        </is>
      </c>
      <c r="E380" s="13" t="n">
        <v>68</v>
      </c>
      <c r="F380" s="13" t="n">
        <v>74</v>
      </c>
      <c r="G380" s="13" t="n">
        <v>537</v>
      </c>
      <c r="H380" s="13" t="n">
        <v>558</v>
      </c>
      <c r="I380" s="14" t="n">
        <v>7.26</v>
      </c>
      <c r="J380" s="62" t="n">
        <v>12.8</v>
      </c>
      <c r="K380" s="13" t="n">
        <v>66</v>
      </c>
      <c r="L380" s="13" t="n">
        <v>6</v>
      </c>
    </row>
    <row r="381">
      <c r="A381" s="11" t="inlineStr">
        <is>
          <t>HOSP-0380</t>
        </is>
      </c>
      <c r="B381" s="61" t="n">
        <v>45870</v>
      </c>
      <c r="C381" s="11" t="inlineStr">
        <is>
          <t>Site 06</t>
        </is>
      </c>
      <c r="D381" s="11" t="inlineStr">
        <is>
          <t>Paediatrics</t>
        </is>
      </c>
      <c r="E381" s="13" t="n">
        <v>103</v>
      </c>
      <c r="F381" s="13" t="n">
        <v>102</v>
      </c>
      <c r="G381" s="13" t="n">
        <v>318</v>
      </c>
      <c r="H381" s="13" t="n">
        <v>341</v>
      </c>
      <c r="I381" s="14" t="n">
        <v>3.12</v>
      </c>
      <c r="J381" s="62" t="n">
        <v>6.7</v>
      </c>
      <c r="K381" s="13" t="n">
        <v>91</v>
      </c>
      <c r="L381" s="13" t="n">
        <v>5</v>
      </c>
    </row>
    <row r="382">
      <c r="A382" s="11" t="inlineStr">
        <is>
          <t>HOSP-0381</t>
        </is>
      </c>
      <c r="B382" s="61" t="n">
        <v>45870</v>
      </c>
      <c r="C382" s="11" t="inlineStr">
        <is>
          <t>Site 07</t>
        </is>
      </c>
      <c r="D382" s="11" t="inlineStr">
        <is>
          <t>Cardiology</t>
        </is>
      </c>
      <c r="E382" s="13" t="n">
        <v>120</v>
      </c>
      <c r="F382" s="13" t="n">
        <v>114</v>
      </c>
      <c r="G382" s="13" t="n">
        <v>595</v>
      </c>
      <c r="H382" s="13" t="n">
        <v>682</v>
      </c>
      <c r="I382" s="14" t="n">
        <v>5.22</v>
      </c>
      <c r="J382" s="62" t="n">
        <v>10.5</v>
      </c>
      <c r="K382" s="13" t="n">
        <v>99</v>
      </c>
      <c r="L382" s="13" t="n">
        <v>11</v>
      </c>
    </row>
    <row r="383">
      <c r="A383" s="11" t="inlineStr">
        <is>
          <t>HOSP-0382</t>
        </is>
      </c>
      <c r="B383" s="61" t="n">
        <v>45870</v>
      </c>
      <c r="C383" s="11" t="inlineStr">
        <is>
          <t>Site 07</t>
        </is>
      </c>
      <c r="D383" s="11" t="inlineStr">
        <is>
          <t>Orthopaedics</t>
        </is>
      </c>
      <c r="E383" s="13" t="n">
        <v>83</v>
      </c>
      <c r="F383" s="13" t="n">
        <v>82</v>
      </c>
      <c r="G383" s="13" t="n">
        <v>513</v>
      </c>
      <c r="H383" s="13" t="n">
        <v>589</v>
      </c>
      <c r="I383" s="14" t="n">
        <v>6.26</v>
      </c>
      <c r="J383" s="62" t="n">
        <v>15.8</v>
      </c>
      <c r="K383" s="13" t="n">
        <v>72</v>
      </c>
      <c r="L383" s="13" t="n">
        <v>11</v>
      </c>
    </row>
    <row r="384">
      <c r="A384" s="11" t="inlineStr">
        <is>
          <t>HOSP-0383</t>
        </is>
      </c>
      <c r="B384" s="61" t="n">
        <v>45870</v>
      </c>
      <c r="C384" s="11" t="inlineStr">
        <is>
          <t>Site 07</t>
        </is>
      </c>
      <c r="D384" s="11" t="inlineStr">
        <is>
          <t>General Medicine</t>
        </is>
      </c>
      <c r="E384" s="13" t="n">
        <v>167</v>
      </c>
      <c r="F384" s="13" t="n">
        <v>167</v>
      </c>
      <c r="G384" s="13" t="n">
        <v>636</v>
      </c>
      <c r="H384" s="13" t="n">
        <v>744</v>
      </c>
      <c r="I384" s="14" t="n">
        <v>3.81</v>
      </c>
      <c r="J384" s="62" t="n">
        <v>7.7</v>
      </c>
      <c r="K384" s="13" t="n">
        <v>151</v>
      </c>
      <c r="L384" s="13" t="n">
        <v>10</v>
      </c>
    </row>
    <row r="385">
      <c r="A385" s="11" t="inlineStr">
        <is>
          <t>HOSP-0384</t>
        </is>
      </c>
      <c r="B385" s="61" t="n">
        <v>45870</v>
      </c>
      <c r="C385" s="11" t="inlineStr">
        <is>
          <t>Site 07</t>
        </is>
      </c>
      <c r="D385" s="11" t="inlineStr">
        <is>
          <t>Nephrology</t>
        </is>
      </c>
      <c r="E385" s="13" t="n">
        <v>64</v>
      </c>
      <c r="F385" s="13" t="n">
        <v>70</v>
      </c>
      <c r="G385" s="13" t="n">
        <v>531</v>
      </c>
      <c r="H385" s="13" t="n">
        <v>558</v>
      </c>
      <c r="I385" s="14" t="n">
        <v>7.59</v>
      </c>
      <c r="J385" s="62" t="n">
        <v>12</v>
      </c>
      <c r="K385" s="13" t="n">
        <v>61</v>
      </c>
      <c r="L385" s="13" t="n">
        <v>6</v>
      </c>
    </row>
    <row r="386">
      <c r="A386" s="11" t="inlineStr">
        <is>
          <t>HOSP-0385</t>
        </is>
      </c>
      <c r="B386" s="61" t="n">
        <v>45870</v>
      </c>
      <c r="C386" s="11" t="inlineStr">
        <is>
          <t>Site 07</t>
        </is>
      </c>
      <c r="D386" s="11" t="inlineStr">
        <is>
          <t>Paediatrics</t>
        </is>
      </c>
      <c r="E386" s="13" t="n">
        <v>92</v>
      </c>
      <c r="F386" s="13" t="n">
        <v>89</v>
      </c>
      <c r="G386" s="13" t="n">
        <v>260</v>
      </c>
      <c r="H386" s="13" t="n">
        <v>341</v>
      </c>
      <c r="I386" s="14" t="n">
        <v>2.92</v>
      </c>
      <c r="J386" s="62" t="n">
        <v>7.2</v>
      </c>
      <c r="K386" s="13" t="n">
        <v>77</v>
      </c>
      <c r="L386" s="13" t="n">
        <v>4</v>
      </c>
    </row>
    <row r="387">
      <c r="A387" s="11" t="inlineStr">
        <is>
          <t>HOSP-0386</t>
        </is>
      </c>
      <c r="B387" s="61" t="n">
        <v>45870</v>
      </c>
      <c r="C387" s="11" t="inlineStr">
        <is>
          <t>Site 08</t>
        </is>
      </c>
      <c r="D387" s="11" t="inlineStr">
        <is>
          <t>Cardiology</t>
        </is>
      </c>
      <c r="E387" s="13" t="n">
        <v>120</v>
      </c>
      <c r="F387" s="13" t="n">
        <v>114</v>
      </c>
      <c r="G387" s="13" t="n">
        <v>619</v>
      </c>
      <c r="H387" s="13" t="n">
        <v>682</v>
      </c>
      <c r="I387" s="14" t="n">
        <v>5.43</v>
      </c>
      <c r="J387" s="62" t="n">
        <v>9.4</v>
      </c>
      <c r="K387" s="13" t="n">
        <v>107</v>
      </c>
      <c r="L387" s="13" t="n">
        <v>9</v>
      </c>
    </row>
    <row r="388">
      <c r="A388" s="11" t="inlineStr">
        <is>
          <t>HOSP-0387</t>
        </is>
      </c>
      <c r="B388" s="61" t="n">
        <v>45870</v>
      </c>
      <c r="C388" s="11" t="inlineStr">
        <is>
          <t>Site 08</t>
        </is>
      </c>
      <c r="D388" s="11" t="inlineStr">
        <is>
          <t>Orthopaedics</t>
        </is>
      </c>
      <c r="E388" s="13" t="n">
        <v>90</v>
      </c>
      <c r="F388" s="13" t="n">
        <v>87</v>
      </c>
      <c r="G388" s="13" t="n">
        <v>505</v>
      </c>
      <c r="H388" s="13" t="n">
        <v>589</v>
      </c>
      <c r="I388" s="14" t="n">
        <v>5.8</v>
      </c>
      <c r="J388" s="62" t="n">
        <v>15.1</v>
      </c>
      <c r="K388" s="13" t="n">
        <v>78</v>
      </c>
      <c r="L388" s="13" t="n">
        <v>9</v>
      </c>
    </row>
    <row r="389">
      <c r="A389" s="11" t="inlineStr">
        <is>
          <t>HOSP-0388</t>
        </is>
      </c>
      <c r="B389" s="61" t="n">
        <v>45870</v>
      </c>
      <c r="C389" s="11" t="inlineStr">
        <is>
          <t>Site 08</t>
        </is>
      </c>
      <c r="D389" s="11" t="inlineStr">
        <is>
          <t>General Medicine</t>
        </is>
      </c>
      <c r="E389" s="13" t="n">
        <v>161</v>
      </c>
      <c r="F389" s="13" t="n">
        <v>159</v>
      </c>
      <c r="G389" s="13" t="n">
        <v>686</v>
      </c>
      <c r="H389" s="13" t="n">
        <v>744</v>
      </c>
      <c r="I389" s="14" t="n">
        <v>4.31</v>
      </c>
      <c r="J389" s="62" t="n">
        <v>8.6</v>
      </c>
      <c r="K389" s="13" t="n">
        <v>148</v>
      </c>
      <c r="L389" s="13" t="n">
        <v>11</v>
      </c>
    </row>
    <row r="390">
      <c r="A390" s="11" t="inlineStr">
        <is>
          <t>HOSP-0389</t>
        </is>
      </c>
      <c r="B390" s="61" t="n">
        <v>45870</v>
      </c>
      <c r="C390" s="11" t="inlineStr">
        <is>
          <t>Site 08</t>
        </is>
      </c>
      <c r="D390" s="11" t="inlineStr">
        <is>
          <t>Nephrology</t>
        </is>
      </c>
      <c r="E390" s="13" t="n">
        <v>76</v>
      </c>
      <c r="F390" s="13" t="n">
        <v>77</v>
      </c>
      <c r="G390" s="13" t="n">
        <v>533</v>
      </c>
      <c r="H390" s="13" t="n">
        <v>558</v>
      </c>
      <c r="I390" s="14" t="n">
        <v>6.92</v>
      </c>
      <c r="J390" s="62" t="n">
        <v>11.2</v>
      </c>
      <c r="K390" s="13" t="n">
        <v>69</v>
      </c>
      <c r="L390" s="13" t="n">
        <v>6</v>
      </c>
    </row>
    <row r="391">
      <c r="A391" s="11" t="inlineStr">
        <is>
          <t>HOSP-0390</t>
        </is>
      </c>
      <c r="B391" s="61" t="n">
        <v>45870</v>
      </c>
      <c r="C391" s="11" t="inlineStr">
        <is>
          <t>Site 08</t>
        </is>
      </c>
      <c r="D391" s="11" t="inlineStr">
        <is>
          <t>Paediatrics</t>
        </is>
      </c>
      <c r="E391" s="13" t="n">
        <v>90</v>
      </c>
      <c r="F391" s="13" t="n">
        <v>96</v>
      </c>
      <c r="G391" s="13" t="n">
        <v>304</v>
      </c>
      <c r="H391" s="13" t="n">
        <v>341</v>
      </c>
      <c r="I391" s="14" t="n">
        <v>3.17</v>
      </c>
      <c r="J391" s="62" t="n">
        <v>6.5</v>
      </c>
      <c r="K391" s="13" t="n">
        <v>88</v>
      </c>
      <c r="L391" s="13" t="n">
        <v>5</v>
      </c>
    </row>
    <row r="392">
      <c r="A392" s="11" t="inlineStr">
        <is>
          <t>HOSP-0391</t>
        </is>
      </c>
      <c r="B392" s="61" t="n">
        <v>45870</v>
      </c>
      <c r="C392" s="11" t="inlineStr">
        <is>
          <t>Site 09</t>
        </is>
      </c>
      <c r="D392" s="11" t="inlineStr">
        <is>
          <t>Cardiology</t>
        </is>
      </c>
      <c r="E392" s="13" t="n">
        <v>103</v>
      </c>
      <c r="F392" s="13" t="n">
        <v>98</v>
      </c>
      <c r="G392" s="13" t="n">
        <v>574</v>
      </c>
      <c r="H392" s="13" t="n">
        <v>682</v>
      </c>
      <c r="I392" s="14" t="n">
        <v>5.86</v>
      </c>
      <c r="J392" s="62" t="n">
        <v>10.8</v>
      </c>
      <c r="K392" s="13" t="n">
        <v>85</v>
      </c>
      <c r="L392" s="13" t="n">
        <v>6</v>
      </c>
    </row>
    <row r="393">
      <c r="A393" s="11" t="inlineStr">
        <is>
          <t>HOSP-0392</t>
        </is>
      </c>
      <c r="B393" s="61" t="n">
        <v>45870</v>
      </c>
      <c r="C393" s="11" t="inlineStr">
        <is>
          <t>Site 09</t>
        </is>
      </c>
      <c r="D393" s="11" t="inlineStr">
        <is>
          <t>Orthopaedics</t>
        </is>
      </c>
      <c r="E393" s="13" t="n">
        <v>62</v>
      </c>
      <c r="F393" s="13" t="n">
        <v>64</v>
      </c>
      <c r="G393" s="13" t="n">
        <v>391</v>
      </c>
      <c r="H393" s="13" t="n">
        <v>589</v>
      </c>
      <c r="I393" s="14" t="n">
        <v>6.11</v>
      </c>
      <c r="J393" s="62" t="n">
        <v>13.8</v>
      </c>
      <c r="K393" s="13" t="n">
        <v>57</v>
      </c>
      <c r="L393" s="13" t="n">
        <v>9</v>
      </c>
    </row>
    <row r="394">
      <c r="A394" s="11" t="inlineStr">
        <is>
          <t>HOSP-0393</t>
        </is>
      </c>
      <c r="B394" s="61" t="n">
        <v>45870</v>
      </c>
      <c r="C394" s="11" t="inlineStr">
        <is>
          <t>Site 09</t>
        </is>
      </c>
      <c r="D394" s="11" t="inlineStr">
        <is>
          <t>General Medicine</t>
        </is>
      </c>
      <c r="E394" s="13" t="n">
        <v>147</v>
      </c>
      <c r="F394" s="13" t="n">
        <v>147</v>
      </c>
      <c r="G394" s="13" t="n">
        <v>555</v>
      </c>
      <c r="H394" s="13" t="n">
        <v>744</v>
      </c>
      <c r="I394" s="14" t="n">
        <v>3.78</v>
      </c>
      <c r="J394" s="62" t="n">
        <v>7</v>
      </c>
      <c r="K394" s="13" t="n">
        <v>129</v>
      </c>
      <c r="L394" s="13" t="n">
        <v>8</v>
      </c>
    </row>
    <row r="395">
      <c r="A395" s="11" t="inlineStr">
        <is>
          <t>HOSP-0394</t>
        </is>
      </c>
      <c r="B395" s="61" t="n">
        <v>45870</v>
      </c>
      <c r="C395" s="11" t="inlineStr">
        <is>
          <t>Site 09</t>
        </is>
      </c>
      <c r="D395" s="11" t="inlineStr">
        <is>
          <t>Nephrology</t>
        </is>
      </c>
      <c r="E395" s="13" t="n">
        <v>45</v>
      </c>
      <c r="F395" s="13" t="n">
        <v>42</v>
      </c>
      <c r="G395" s="13" t="n">
        <v>324</v>
      </c>
      <c r="H395" s="13" t="n">
        <v>558</v>
      </c>
      <c r="I395" s="14" t="n">
        <v>7.71</v>
      </c>
      <c r="J395" s="62" t="n">
        <v>12.5</v>
      </c>
      <c r="K395" s="13" t="n">
        <v>37</v>
      </c>
      <c r="L395" s="13" t="n">
        <v>3</v>
      </c>
    </row>
    <row r="396">
      <c r="A396" s="11" t="inlineStr">
        <is>
          <t>HOSP-0395</t>
        </is>
      </c>
      <c r="B396" s="61" t="n">
        <v>45870</v>
      </c>
      <c r="C396" s="11" t="inlineStr">
        <is>
          <t>Site 09</t>
        </is>
      </c>
      <c r="D396" s="11" t="inlineStr">
        <is>
          <t>Paediatrics</t>
        </is>
      </c>
      <c r="E396" s="13" t="n">
        <v>77</v>
      </c>
      <c r="F396" s="13" t="n">
        <v>83</v>
      </c>
      <c r="G396" s="13" t="n">
        <v>259</v>
      </c>
      <c r="H396" s="13" t="n">
        <v>341</v>
      </c>
      <c r="I396" s="14" t="n">
        <v>3.12</v>
      </c>
      <c r="J396" s="62" t="n">
        <v>7</v>
      </c>
      <c r="K396" s="13" t="n">
        <v>78</v>
      </c>
      <c r="L396" s="13" t="n">
        <v>4</v>
      </c>
    </row>
    <row r="397">
      <c r="A397" s="11" t="inlineStr">
        <is>
          <t>HOSP-0396</t>
        </is>
      </c>
      <c r="B397" s="61" t="n">
        <v>45870</v>
      </c>
      <c r="C397" s="11" t="inlineStr">
        <is>
          <t>Site 10</t>
        </is>
      </c>
      <c r="D397" s="11" t="inlineStr">
        <is>
          <t>Cardiology</t>
        </is>
      </c>
      <c r="E397" s="13" t="n">
        <v>106</v>
      </c>
      <c r="F397" s="13" t="n">
        <v>110</v>
      </c>
      <c r="G397" s="13" t="n">
        <v>587</v>
      </c>
      <c r="H397" s="13" t="n">
        <v>682</v>
      </c>
      <c r="I397" s="14" t="n">
        <v>5.34</v>
      </c>
      <c r="J397" s="62" t="n">
        <v>11.3</v>
      </c>
      <c r="K397" s="13" t="n">
        <v>98</v>
      </c>
      <c r="L397" s="13" t="n">
        <v>9</v>
      </c>
    </row>
    <row r="398">
      <c r="A398" s="11" t="inlineStr">
        <is>
          <t>HOSP-0397</t>
        </is>
      </c>
      <c r="B398" s="61" t="n">
        <v>45870</v>
      </c>
      <c r="C398" s="11" t="inlineStr">
        <is>
          <t>Site 10</t>
        </is>
      </c>
      <c r="D398" s="11" t="inlineStr">
        <is>
          <t>Orthopaedics</t>
        </is>
      </c>
      <c r="E398" s="13" t="n">
        <v>84</v>
      </c>
      <c r="F398" s="13" t="n">
        <v>88</v>
      </c>
      <c r="G398" s="13" t="n">
        <v>570</v>
      </c>
      <c r="H398" s="13" t="n">
        <v>589</v>
      </c>
      <c r="I398" s="14" t="n">
        <v>6.48</v>
      </c>
      <c r="J398" s="62" t="n">
        <v>14</v>
      </c>
      <c r="K398" s="13" t="n">
        <v>81</v>
      </c>
      <c r="L398" s="13" t="n">
        <v>10</v>
      </c>
    </row>
    <row r="399">
      <c r="A399" s="11" t="inlineStr">
        <is>
          <t>HOSP-0398</t>
        </is>
      </c>
      <c r="B399" s="61" t="n">
        <v>45870</v>
      </c>
      <c r="C399" s="11" t="inlineStr">
        <is>
          <t>Site 10</t>
        </is>
      </c>
      <c r="D399" s="11" t="inlineStr">
        <is>
          <t>General Medicine</t>
        </is>
      </c>
      <c r="E399" s="13" t="n">
        <v>150</v>
      </c>
      <c r="F399" s="13" t="n">
        <v>149</v>
      </c>
      <c r="G399" s="13" t="n">
        <v>543</v>
      </c>
      <c r="H399" s="13" t="n">
        <v>744</v>
      </c>
      <c r="I399" s="14" t="n">
        <v>3.64</v>
      </c>
      <c r="J399" s="62" t="n">
        <v>8.1</v>
      </c>
      <c r="K399" s="13" t="n">
        <v>135</v>
      </c>
      <c r="L399" s="13" t="n">
        <v>8</v>
      </c>
    </row>
    <row r="400">
      <c r="A400" s="11" t="inlineStr">
        <is>
          <t>HOSP-0399</t>
        </is>
      </c>
      <c r="B400" s="61" t="n">
        <v>45870</v>
      </c>
      <c r="C400" s="11" t="inlineStr">
        <is>
          <t>Site 10</t>
        </is>
      </c>
      <c r="D400" s="11" t="inlineStr">
        <is>
          <t>Nephrology</t>
        </is>
      </c>
      <c r="E400" s="13" t="n">
        <v>54</v>
      </c>
      <c r="F400" s="13" t="n">
        <v>54</v>
      </c>
      <c r="G400" s="13" t="n">
        <v>427</v>
      </c>
      <c r="H400" s="13" t="n">
        <v>558</v>
      </c>
      <c r="I400" s="14" t="n">
        <v>7.91</v>
      </c>
      <c r="J400" s="62" t="n">
        <v>12.7</v>
      </c>
      <c r="K400" s="13" t="n">
        <v>47</v>
      </c>
      <c r="L400" s="13" t="n">
        <v>6</v>
      </c>
    </row>
    <row r="401">
      <c r="A401" s="11" t="inlineStr">
        <is>
          <t>HOSP-0400</t>
        </is>
      </c>
      <c r="B401" s="61" t="n">
        <v>45870</v>
      </c>
      <c r="C401" s="11" t="inlineStr">
        <is>
          <t>Site 10</t>
        </is>
      </c>
      <c r="D401" s="11" t="inlineStr">
        <is>
          <t>Paediatrics</t>
        </is>
      </c>
      <c r="E401" s="13" t="n">
        <v>90</v>
      </c>
      <c r="F401" s="13" t="n">
        <v>95</v>
      </c>
      <c r="G401" s="13" t="n">
        <v>303</v>
      </c>
      <c r="H401" s="13" t="n">
        <v>341</v>
      </c>
      <c r="I401" s="14" t="n">
        <v>3.19</v>
      </c>
      <c r="J401" s="62" t="n">
        <v>5.7</v>
      </c>
      <c r="K401" s="13" t="n">
        <v>84</v>
      </c>
      <c r="L401" s="13" t="n">
        <v>5</v>
      </c>
    </row>
    <row r="402">
      <c r="A402" s="11" t="inlineStr">
        <is>
          <t>HOSP-0401</t>
        </is>
      </c>
      <c r="B402" s="61" t="n">
        <v>45901</v>
      </c>
      <c r="C402" s="11" t="inlineStr">
        <is>
          <t>Site 01</t>
        </is>
      </c>
      <c r="D402" s="11" t="inlineStr">
        <is>
          <t>Cardiology</t>
        </is>
      </c>
      <c r="E402" s="13" t="n">
        <v>108</v>
      </c>
      <c r="F402" s="13" t="n">
        <v>110</v>
      </c>
      <c r="G402" s="13" t="n">
        <v>571</v>
      </c>
      <c r="H402" s="13" t="n">
        <v>660</v>
      </c>
      <c r="I402" s="14" t="n">
        <v>5.19</v>
      </c>
      <c r="J402" s="62" t="n">
        <v>10.4</v>
      </c>
      <c r="K402" s="13" t="n">
        <v>96</v>
      </c>
      <c r="L402" s="13" t="n">
        <v>7</v>
      </c>
    </row>
    <row r="403">
      <c r="A403" s="11" t="inlineStr">
        <is>
          <t>HOSP-0402</t>
        </is>
      </c>
      <c r="B403" s="61" t="n">
        <v>45901</v>
      </c>
      <c r="C403" s="11" t="inlineStr">
        <is>
          <t>Site 01</t>
        </is>
      </c>
      <c r="D403" s="11" t="inlineStr">
        <is>
          <t>Orthopaedics</t>
        </is>
      </c>
      <c r="E403" s="13" t="n">
        <v>90</v>
      </c>
      <c r="F403" s="13" t="n">
        <v>85</v>
      </c>
      <c r="G403" s="13" t="n">
        <v>493</v>
      </c>
      <c r="H403" s="13" t="n">
        <v>570</v>
      </c>
      <c r="I403" s="14" t="n">
        <v>5.8</v>
      </c>
      <c r="J403" s="62" t="n">
        <v>11.7</v>
      </c>
      <c r="K403" s="13" t="n">
        <v>75</v>
      </c>
      <c r="L403" s="13" t="n">
        <v>11</v>
      </c>
    </row>
    <row r="404">
      <c r="A404" s="11" t="inlineStr">
        <is>
          <t>HOSP-0403</t>
        </is>
      </c>
      <c r="B404" s="61" t="n">
        <v>45901</v>
      </c>
      <c r="C404" s="11" t="inlineStr">
        <is>
          <t>Site 01</t>
        </is>
      </c>
      <c r="D404" s="11" t="inlineStr">
        <is>
          <t>General Medicine</t>
        </is>
      </c>
      <c r="E404" s="13" t="n">
        <v>158</v>
      </c>
      <c r="F404" s="13" t="n">
        <v>152</v>
      </c>
      <c r="G404" s="13" t="n">
        <v>581</v>
      </c>
      <c r="H404" s="13" t="n">
        <v>720</v>
      </c>
      <c r="I404" s="14" t="n">
        <v>3.82</v>
      </c>
      <c r="J404" s="62" t="n">
        <v>7.9</v>
      </c>
      <c r="K404" s="13" t="n">
        <v>140</v>
      </c>
      <c r="L404" s="13" t="n">
        <v>7</v>
      </c>
    </row>
    <row r="405">
      <c r="A405" s="11" t="inlineStr">
        <is>
          <t>HOSP-0404</t>
        </is>
      </c>
      <c r="B405" s="61" t="n">
        <v>45901</v>
      </c>
      <c r="C405" s="11" t="inlineStr">
        <is>
          <t>Site 01</t>
        </is>
      </c>
      <c r="D405" s="11" t="inlineStr">
        <is>
          <t>Nephrology</t>
        </is>
      </c>
      <c r="E405" s="13" t="n">
        <v>60</v>
      </c>
      <c r="F405" s="13" t="n">
        <v>63</v>
      </c>
      <c r="G405" s="13" t="n">
        <v>511</v>
      </c>
      <c r="H405" s="13" t="n">
        <v>540</v>
      </c>
      <c r="I405" s="14" t="n">
        <v>8.109999999999999</v>
      </c>
      <c r="J405" s="62" t="n">
        <v>8.9</v>
      </c>
      <c r="K405" s="13" t="n">
        <v>56</v>
      </c>
      <c r="L405" s="13" t="n">
        <v>4</v>
      </c>
    </row>
    <row r="406">
      <c r="A406" s="11" t="inlineStr">
        <is>
          <t>HOSP-0405</t>
        </is>
      </c>
      <c r="B406" s="61" t="n">
        <v>45901</v>
      </c>
      <c r="C406" s="11" t="inlineStr">
        <is>
          <t>Site 01</t>
        </is>
      </c>
      <c r="D406" s="11" t="inlineStr">
        <is>
          <t>Paediatrics</t>
        </is>
      </c>
      <c r="E406" s="13" t="n">
        <v>96</v>
      </c>
      <c r="F406" s="13" t="n">
        <v>97</v>
      </c>
      <c r="G406" s="13" t="n">
        <v>320</v>
      </c>
      <c r="H406" s="13" t="n">
        <v>330</v>
      </c>
      <c r="I406" s="14" t="n">
        <v>3.3</v>
      </c>
      <c r="J406" s="62" t="n">
        <v>6.9</v>
      </c>
      <c r="K406" s="13" t="n">
        <v>91</v>
      </c>
      <c r="L406" s="13" t="n">
        <v>4</v>
      </c>
    </row>
    <row r="407">
      <c r="A407" s="11" t="inlineStr">
        <is>
          <t>HOSP-0406</t>
        </is>
      </c>
      <c r="B407" s="61" t="n">
        <v>45901</v>
      </c>
      <c r="C407" s="11" t="inlineStr">
        <is>
          <t>Site 02</t>
        </is>
      </c>
      <c r="D407" s="11" t="inlineStr">
        <is>
          <t>Cardiology</t>
        </is>
      </c>
      <c r="E407" s="13" t="n">
        <v>106</v>
      </c>
      <c r="F407" s="13" t="n">
        <v>105</v>
      </c>
      <c r="G407" s="13" t="n">
        <v>540</v>
      </c>
      <c r="H407" s="13" t="n">
        <v>660</v>
      </c>
      <c r="I407" s="14" t="n">
        <v>5.14</v>
      </c>
      <c r="J407" s="62" t="n">
        <v>11.1</v>
      </c>
      <c r="K407" s="13" t="n">
        <v>93</v>
      </c>
      <c r="L407" s="13" t="n">
        <v>8</v>
      </c>
    </row>
    <row r="408">
      <c r="A408" s="11" t="inlineStr">
        <is>
          <t>HOSP-0407</t>
        </is>
      </c>
      <c r="B408" s="61" t="n">
        <v>45901</v>
      </c>
      <c r="C408" s="11" t="inlineStr">
        <is>
          <t>Site 02</t>
        </is>
      </c>
      <c r="D408" s="11" t="inlineStr">
        <is>
          <t>Orthopaedics</t>
        </is>
      </c>
      <c r="E408" s="13" t="n">
        <v>74</v>
      </c>
      <c r="F408" s="13" t="n">
        <v>78</v>
      </c>
      <c r="G408" s="13" t="n">
        <v>463</v>
      </c>
      <c r="H408" s="13" t="n">
        <v>570</v>
      </c>
      <c r="I408" s="14" t="n">
        <v>5.94</v>
      </c>
      <c r="J408" s="62" t="n">
        <v>14.7</v>
      </c>
      <c r="K408" s="13" t="n">
        <v>67</v>
      </c>
      <c r="L408" s="13" t="n">
        <v>10</v>
      </c>
    </row>
    <row r="409">
      <c r="A409" s="11" t="inlineStr">
        <is>
          <t>HOSP-0408</t>
        </is>
      </c>
      <c r="B409" s="61" t="n">
        <v>45901</v>
      </c>
      <c r="C409" s="11" t="inlineStr">
        <is>
          <t>Site 02</t>
        </is>
      </c>
      <c r="D409" s="11" t="inlineStr">
        <is>
          <t>General Medicine</t>
        </is>
      </c>
      <c r="E409" s="13" t="n">
        <v>160</v>
      </c>
      <c r="F409" s="13" t="n">
        <v>160</v>
      </c>
      <c r="G409" s="13" t="n">
        <v>645</v>
      </c>
      <c r="H409" s="13" t="n">
        <v>720</v>
      </c>
      <c r="I409" s="14" t="n">
        <v>4.03</v>
      </c>
      <c r="J409" s="62" t="n">
        <v>5.1</v>
      </c>
      <c r="K409" s="13" t="n">
        <v>140</v>
      </c>
      <c r="L409" s="13" t="n">
        <v>11</v>
      </c>
    </row>
    <row r="410">
      <c r="A410" s="11" t="inlineStr">
        <is>
          <t>HOSP-0409</t>
        </is>
      </c>
      <c r="B410" s="61" t="n">
        <v>45901</v>
      </c>
      <c r="C410" s="11" t="inlineStr">
        <is>
          <t>Site 02</t>
        </is>
      </c>
      <c r="D410" s="11" t="inlineStr">
        <is>
          <t>Nephrology</t>
        </is>
      </c>
      <c r="E410" s="13" t="n">
        <v>53</v>
      </c>
      <c r="F410" s="13" t="n">
        <v>52</v>
      </c>
      <c r="G410" s="13" t="n">
        <v>436</v>
      </c>
      <c r="H410" s="13" t="n">
        <v>540</v>
      </c>
      <c r="I410" s="14" t="n">
        <v>8.380000000000001</v>
      </c>
      <c r="J410" s="62" t="n">
        <v>12.5</v>
      </c>
      <c r="K410" s="13" t="n">
        <v>48</v>
      </c>
      <c r="L410" s="13" t="n">
        <v>5</v>
      </c>
    </row>
    <row r="411">
      <c r="A411" s="11" t="inlineStr">
        <is>
          <t>HOSP-0410</t>
        </is>
      </c>
      <c r="B411" s="61" t="n">
        <v>45901</v>
      </c>
      <c r="C411" s="11" t="inlineStr">
        <is>
          <t>Site 02</t>
        </is>
      </c>
      <c r="D411" s="11" t="inlineStr">
        <is>
          <t>Paediatrics</t>
        </is>
      </c>
      <c r="E411" s="13" t="n">
        <v>88</v>
      </c>
      <c r="F411" s="13" t="n">
        <v>88</v>
      </c>
      <c r="G411" s="13" t="n">
        <v>279</v>
      </c>
      <c r="H411" s="13" t="n">
        <v>330</v>
      </c>
      <c r="I411" s="14" t="n">
        <v>3.17</v>
      </c>
      <c r="J411" s="62" t="n">
        <v>7</v>
      </c>
      <c r="K411" s="13" t="n">
        <v>78</v>
      </c>
      <c r="L411" s="13" t="n">
        <v>5</v>
      </c>
    </row>
    <row r="412">
      <c r="A412" s="11" t="inlineStr">
        <is>
          <t>HOSP-0411</t>
        </is>
      </c>
      <c r="B412" s="61" t="n">
        <v>45901</v>
      </c>
      <c r="C412" s="11" t="inlineStr">
        <is>
          <t>Site 03</t>
        </is>
      </c>
      <c r="D412" s="11" t="inlineStr">
        <is>
          <t>Cardiology</t>
        </is>
      </c>
      <c r="E412" s="13" t="n">
        <v>105</v>
      </c>
      <c r="F412" s="13" t="n">
        <v>103</v>
      </c>
      <c r="G412" s="13" t="n">
        <v>572</v>
      </c>
      <c r="H412" s="13" t="n">
        <v>660</v>
      </c>
      <c r="I412" s="14" t="n">
        <v>5.55</v>
      </c>
      <c r="J412" s="62" t="n">
        <v>12</v>
      </c>
      <c r="K412" s="13" t="n">
        <v>91</v>
      </c>
      <c r="L412" s="13" t="n">
        <v>9</v>
      </c>
    </row>
    <row r="413">
      <c r="A413" s="11" t="inlineStr">
        <is>
          <t>HOSP-0412</t>
        </is>
      </c>
      <c r="B413" s="61" t="n">
        <v>45901</v>
      </c>
      <c r="C413" s="11" t="inlineStr">
        <is>
          <t>Site 03</t>
        </is>
      </c>
      <c r="D413" s="11" t="inlineStr">
        <is>
          <t>Orthopaedics</t>
        </is>
      </c>
      <c r="E413" s="13" t="n">
        <v>90</v>
      </c>
      <c r="F413" s="13" t="n">
        <v>86</v>
      </c>
      <c r="G413" s="13" t="n">
        <v>559</v>
      </c>
      <c r="H413" s="13" t="n">
        <v>570</v>
      </c>
      <c r="I413" s="14" t="n">
        <v>6.5</v>
      </c>
      <c r="J413" s="62" t="n">
        <v>13.1</v>
      </c>
      <c r="K413" s="13" t="n">
        <v>74</v>
      </c>
      <c r="L413" s="13" t="n">
        <v>9</v>
      </c>
    </row>
    <row r="414">
      <c r="A414" s="11" t="inlineStr">
        <is>
          <t>HOSP-0413</t>
        </is>
      </c>
      <c r="B414" s="61" t="n">
        <v>45901</v>
      </c>
      <c r="C414" s="11" t="inlineStr">
        <is>
          <t>Site 03</t>
        </is>
      </c>
      <c r="D414" s="11" t="inlineStr">
        <is>
          <t>General Medicine</t>
        </is>
      </c>
      <c r="E414" s="13" t="n">
        <v>159</v>
      </c>
      <c r="F414" s="13" t="n">
        <v>162</v>
      </c>
      <c r="G414" s="13" t="n">
        <v>631</v>
      </c>
      <c r="H414" s="13" t="n">
        <v>720</v>
      </c>
      <c r="I414" s="14" t="n">
        <v>3.9</v>
      </c>
      <c r="J414" s="62" t="n">
        <v>8.4</v>
      </c>
      <c r="K414" s="13" t="n">
        <v>150</v>
      </c>
      <c r="L414" s="13" t="n">
        <v>12</v>
      </c>
    </row>
    <row r="415">
      <c r="A415" s="11" t="inlineStr">
        <is>
          <t>HOSP-0414</t>
        </is>
      </c>
      <c r="B415" s="61" t="n">
        <v>45901</v>
      </c>
      <c r="C415" s="11" t="inlineStr">
        <is>
          <t>Site 03</t>
        </is>
      </c>
      <c r="D415" s="11" t="inlineStr">
        <is>
          <t>Nephrology</t>
        </is>
      </c>
      <c r="E415" s="13" t="n">
        <v>62</v>
      </c>
      <c r="F415" s="13" t="n">
        <v>59</v>
      </c>
      <c r="G415" s="13" t="n">
        <v>496</v>
      </c>
      <c r="H415" s="13" t="n">
        <v>540</v>
      </c>
      <c r="I415" s="14" t="n">
        <v>8.41</v>
      </c>
      <c r="J415" s="62" t="n">
        <v>12.9</v>
      </c>
      <c r="K415" s="13" t="n">
        <v>55</v>
      </c>
      <c r="L415" s="13" t="n">
        <v>5</v>
      </c>
    </row>
    <row r="416">
      <c r="A416" s="11" t="inlineStr">
        <is>
          <t>HOSP-0415</t>
        </is>
      </c>
      <c r="B416" s="61" t="n">
        <v>45901</v>
      </c>
      <c r="C416" s="11" t="inlineStr">
        <is>
          <t>Site 03</t>
        </is>
      </c>
      <c r="D416" s="11" t="inlineStr">
        <is>
          <t>Paediatrics</t>
        </is>
      </c>
      <c r="E416" s="13" t="n">
        <v>105</v>
      </c>
      <c r="F416" s="13" t="n">
        <v>100</v>
      </c>
      <c r="G416" s="13" t="n">
        <v>319</v>
      </c>
      <c r="H416" s="13" t="n">
        <v>330</v>
      </c>
      <c r="I416" s="14" t="n">
        <v>3.19</v>
      </c>
      <c r="J416" s="62" t="n">
        <v>6.8</v>
      </c>
      <c r="K416" s="13" t="n">
        <v>88</v>
      </c>
      <c r="L416" s="13" t="n">
        <v>5</v>
      </c>
    </row>
    <row r="417">
      <c r="A417" s="11" t="inlineStr">
        <is>
          <t>HOSP-0416</t>
        </is>
      </c>
      <c r="B417" s="61" t="n">
        <v>45901</v>
      </c>
      <c r="C417" s="11" t="inlineStr">
        <is>
          <t>Site 04</t>
        </is>
      </c>
      <c r="D417" s="11" t="inlineStr">
        <is>
          <t>Cardiology</t>
        </is>
      </c>
      <c r="E417" s="13" t="n">
        <v>131</v>
      </c>
      <c r="F417" s="13" t="n">
        <v>136</v>
      </c>
      <c r="G417" s="13" t="n">
        <v>635</v>
      </c>
      <c r="H417" s="13" t="n">
        <v>660</v>
      </c>
      <c r="I417" s="14" t="n">
        <v>4.67</v>
      </c>
      <c r="J417" s="62" t="n">
        <v>12.1</v>
      </c>
      <c r="K417" s="13" t="n">
        <v>120</v>
      </c>
      <c r="L417" s="13" t="n">
        <v>10</v>
      </c>
    </row>
    <row r="418">
      <c r="A418" s="11" t="inlineStr">
        <is>
          <t>HOSP-0417</t>
        </is>
      </c>
      <c r="B418" s="61" t="n">
        <v>45901</v>
      </c>
      <c r="C418" s="11" t="inlineStr">
        <is>
          <t>Site 04</t>
        </is>
      </c>
      <c r="D418" s="11" t="inlineStr">
        <is>
          <t>Orthopaedics</t>
        </is>
      </c>
      <c r="E418" s="13" t="n">
        <v>68</v>
      </c>
      <c r="F418" s="13" t="n">
        <v>62</v>
      </c>
      <c r="G418" s="13" t="n">
        <v>328</v>
      </c>
      <c r="H418" s="13" t="n">
        <v>570</v>
      </c>
      <c r="I418" s="14" t="n">
        <v>5.29</v>
      </c>
      <c r="J418" s="62" t="n">
        <v>16.5</v>
      </c>
      <c r="K418" s="13" t="n">
        <v>54</v>
      </c>
      <c r="L418" s="13" t="n">
        <v>8</v>
      </c>
    </row>
    <row r="419">
      <c r="A419" s="11" t="inlineStr">
        <is>
          <t>HOSP-0418</t>
        </is>
      </c>
      <c r="B419" s="61" t="n">
        <v>45901</v>
      </c>
      <c r="C419" s="11" t="inlineStr">
        <is>
          <t>Site 04</t>
        </is>
      </c>
      <c r="D419" s="11" t="inlineStr">
        <is>
          <t>General Medicine</t>
        </is>
      </c>
      <c r="E419" s="13" t="n">
        <v>152</v>
      </c>
      <c r="F419" s="13" t="n">
        <v>147</v>
      </c>
      <c r="G419" s="13" t="n">
        <v>533</v>
      </c>
      <c r="H419" s="13" t="n">
        <v>720</v>
      </c>
      <c r="I419" s="14" t="n">
        <v>3.63</v>
      </c>
      <c r="J419" s="62" t="n">
        <v>8.300000000000001</v>
      </c>
      <c r="K419" s="13" t="n">
        <v>127</v>
      </c>
      <c r="L419" s="13" t="n">
        <v>7</v>
      </c>
    </row>
    <row r="420">
      <c r="A420" s="11" t="inlineStr">
        <is>
          <t>HOSP-0419</t>
        </is>
      </c>
      <c r="B420" s="61" t="n">
        <v>45901</v>
      </c>
      <c r="C420" s="11" t="inlineStr">
        <is>
          <t>Site 04</t>
        </is>
      </c>
      <c r="D420" s="11" t="inlineStr">
        <is>
          <t>Nephrology</t>
        </is>
      </c>
      <c r="E420" s="13" t="n">
        <v>60</v>
      </c>
      <c r="F420" s="13" t="n">
        <v>56</v>
      </c>
      <c r="G420" s="13" t="n">
        <v>459</v>
      </c>
      <c r="H420" s="13" t="n">
        <v>540</v>
      </c>
      <c r="I420" s="14" t="n">
        <v>8.199999999999999</v>
      </c>
      <c r="J420" s="62" t="n">
        <v>14.1</v>
      </c>
      <c r="K420" s="13" t="n">
        <v>48</v>
      </c>
      <c r="L420" s="13" t="n">
        <v>5</v>
      </c>
    </row>
    <row r="421">
      <c r="A421" s="11" t="inlineStr">
        <is>
          <t>HOSP-0420</t>
        </is>
      </c>
      <c r="B421" s="61" t="n">
        <v>45901</v>
      </c>
      <c r="C421" s="11" t="inlineStr">
        <is>
          <t>Site 04</t>
        </is>
      </c>
      <c r="D421" s="11" t="inlineStr">
        <is>
          <t>Paediatrics</t>
        </is>
      </c>
      <c r="E421" s="13" t="n">
        <v>91</v>
      </c>
      <c r="F421" s="13" t="n">
        <v>97</v>
      </c>
      <c r="G421" s="13" t="n">
        <v>264</v>
      </c>
      <c r="H421" s="13" t="n">
        <v>330</v>
      </c>
      <c r="I421" s="14" t="n">
        <v>2.72</v>
      </c>
      <c r="J421" s="62" t="n">
        <v>6.4</v>
      </c>
      <c r="K421" s="13" t="n">
        <v>88</v>
      </c>
      <c r="L421" s="13" t="n">
        <v>4</v>
      </c>
    </row>
    <row r="422">
      <c r="A422" s="11" t="inlineStr">
        <is>
          <t>HOSP-0421</t>
        </is>
      </c>
      <c r="B422" s="61" t="n">
        <v>45901</v>
      </c>
      <c r="C422" s="11" t="inlineStr">
        <is>
          <t>Site 05</t>
        </is>
      </c>
      <c r="D422" s="11" t="inlineStr">
        <is>
          <t>Cardiology</t>
        </is>
      </c>
      <c r="E422" s="13" t="n">
        <v>93</v>
      </c>
      <c r="F422" s="13" t="n">
        <v>92</v>
      </c>
      <c r="G422" s="13" t="n">
        <v>522</v>
      </c>
      <c r="H422" s="13" t="n">
        <v>660</v>
      </c>
      <c r="I422" s="14" t="n">
        <v>5.67</v>
      </c>
      <c r="J422" s="62" t="n">
        <v>11.4</v>
      </c>
      <c r="K422" s="13" t="n">
        <v>84</v>
      </c>
      <c r="L422" s="13" t="n">
        <v>7</v>
      </c>
    </row>
    <row r="423">
      <c r="A423" s="11" t="inlineStr">
        <is>
          <t>HOSP-0422</t>
        </is>
      </c>
      <c r="B423" s="61" t="n">
        <v>45901</v>
      </c>
      <c r="C423" s="11" t="inlineStr">
        <is>
          <t>Site 05</t>
        </is>
      </c>
      <c r="D423" s="11" t="inlineStr">
        <is>
          <t>Orthopaedics</t>
        </is>
      </c>
      <c r="E423" s="13" t="n">
        <v>67</v>
      </c>
      <c r="F423" s="13" t="n">
        <v>63</v>
      </c>
      <c r="G423" s="13" t="n">
        <v>389</v>
      </c>
      <c r="H423" s="13" t="n">
        <v>570</v>
      </c>
      <c r="I423" s="14" t="n">
        <v>6.17</v>
      </c>
      <c r="J423" s="62" t="n">
        <v>12</v>
      </c>
      <c r="K423" s="13" t="n">
        <v>55</v>
      </c>
      <c r="L423" s="13" t="n">
        <v>7</v>
      </c>
    </row>
    <row r="424">
      <c r="A424" s="11" t="inlineStr">
        <is>
          <t>HOSP-0423</t>
        </is>
      </c>
      <c r="B424" s="61" t="n">
        <v>45901</v>
      </c>
      <c r="C424" s="11" t="inlineStr">
        <is>
          <t>Site 05</t>
        </is>
      </c>
      <c r="D424" s="11" t="inlineStr">
        <is>
          <t>General Medicine</t>
        </is>
      </c>
      <c r="E424" s="13" t="n">
        <v>137</v>
      </c>
      <c r="F424" s="13" t="n">
        <v>142</v>
      </c>
      <c r="G424" s="13" t="n">
        <v>622</v>
      </c>
      <c r="H424" s="13" t="n">
        <v>720</v>
      </c>
      <c r="I424" s="14" t="n">
        <v>4.38</v>
      </c>
      <c r="J424" s="62" t="n">
        <v>9.5</v>
      </c>
      <c r="K424" s="13" t="n">
        <v>133</v>
      </c>
      <c r="L424" s="13" t="n">
        <v>7</v>
      </c>
    </row>
    <row r="425">
      <c r="A425" s="11" t="inlineStr">
        <is>
          <t>HOSP-0424</t>
        </is>
      </c>
      <c r="B425" s="61" t="n">
        <v>45901</v>
      </c>
      <c r="C425" s="11" t="inlineStr">
        <is>
          <t>Site 05</t>
        </is>
      </c>
      <c r="D425" s="11" t="inlineStr">
        <is>
          <t>Nephrology</t>
        </is>
      </c>
      <c r="E425" s="13" t="n">
        <v>51</v>
      </c>
      <c r="F425" s="13" t="n">
        <v>49</v>
      </c>
      <c r="G425" s="13" t="n">
        <v>416</v>
      </c>
      <c r="H425" s="13" t="n">
        <v>540</v>
      </c>
      <c r="I425" s="14" t="n">
        <v>8.49</v>
      </c>
      <c r="J425" s="62" t="n">
        <v>14.7</v>
      </c>
      <c r="K425" s="13" t="n">
        <v>43</v>
      </c>
      <c r="L425" s="13" t="n">
        <v>4</v>
      </c>
    </row>
    <row r="426">
      <c r="A426" s="11" t="inlineStr">
        <is>
          <t>HOSP-0425</t>
        </is>
      </c>
      <c r="B426" s="61" t="n">
        <v>45901</v>
      </c>
      <c r="C426" s="11" t="inlineStr">
        <is>
          <t>Site 05</t>
        </is>
      </c>
      <c r="D426" s="11" t="inlineStr">
        <is>
          <t>Paediatrics</t>
        </is>
      </c>
      <c r="E426" s="13" t="n">
        <v>71</v>
      </c>
      <c r="F426" s="13" t="n">
        <v>76</v>
      </c>
      <c r="G426" s="13" t="n">
        <v>220</v>
      </c>
      <c r="H426" s="13" t="n">
        <v>330</v>
      </c>
      <c r="I426" s="14" t="n">
        <v>2.89</v>
      </c>
      <c r="J426" s="62" t="n">
        <v>6.3</v>
      </c>
      <c r="K426" s="13" t="n">
        <v>70</v>
      </c>
      <c r="L426" s="13" t="n">
        <v>5</v>
      </c>
    </row>
    <row r="427">
      <c r="A427" s="11" t="inlineStr">
        <is>
          <t>HOSP-0426</t>
        </is>
      </c>
      <c r="B427" s="61" t="n">
        <v>45901</v>
      </c>
      <c r="C427" s="11" t="inlineStr">
        <is>
          <t>Site 06</t>
        </is>
      </c>
      <c r="D427" s="11" t="inlineStr">
        <is>
          <t>Cardiology</t>
        </is>
      </c>
      <c r="E427" s="13" t="n">
        <v>119</v>
      </c>
      <c r="F427" s="13" t="n">
        <v>125</v>
      </c>
      <c r="G427" s="13" t="n">
        <v>555</v>
      </c>
      <c r="H427" s="13" t="n">
        <v>660</v>
      </c>
      <c r="I427" s="14" t="n">
        <v>4.44</v>
      </c>
      <c r="J427" s="62" t="n">
        <v>11.1</v>
      </c>
      <c r="K427" s="13" t="n">
        <v>114</v>
      </c>
      <c r="L427" s="13" t="n">
        <v>9</v>
      </c>
    </row>
    <row r="428">
      <c r="A428" s="11" t="inlineStr">
        <is>
          <t>HOSP-0427</t>
        </is>
      </c>
      <c r="B428" s="61" t="n">
        <v>45901</v>
      </c>
      <c r="C428" s="11" t="inlineStr">
        <is>
          <t>Site 06</t>
        </is>
      </c>
      <c r="D428" s="11" t="inlineStr">
        <is>
          <t>Orthopaedics</t>
        </is>
      </c>
      <c r="E428" s="13" t="n">
        <v>87</v>
      </c>
      <c r="F428" s="13" t="n">
        <v>81</v>
      </c>
      <c r="G428" s="13" t="n">
        <v>518</v>
      </c>
      <c r="H428" s="13" t="n">
        <v>570</v>
      </c>
      <c r="I428" s="14" t="n">
        <v>6.4</v>
      </c>
      <c r="J428" s="62" t="n">
        <v>11.4</v>
      </c>
      <c r="K428" s="13" t="n">
        <v>72</v>
      </c>
      <c r="L428" s="13" t="n">
        <v>11</v>
      </c>
    </row>
    <row r="429">
      <c r="A429" s="11" t="inlineStr">
        <is>
          <t>HOSP-0428</t>
        </is>
      </c>
      <c r="B429" s="61" t="n">
        <v>45901</v>
      </c>
      <c r="C429" s="11" t="inlineStr">
        <is>
          <t>Site 06</t>
        </is>
      </c>
      <c r="D429" s="11" t="inlineStr">
        <is>
          <t>General Medicine</t>
        </is>
      </c>
      <c r="E429" s="13" t="n">
        <v>167</v>
      </c>
      <c r="F429" s="13" t="n">
        <v>171</v>
      </c>
      <c r="G429" s="13" t="n">
        <v>618</v>
      </c>
      <c r="H429" s="13" t="n">
        <v>720</v>
      </c>
      <c r="I429" s="14" t="n">
        <v>3.61</v>
      </c>
      <c r="J429" s="62" t="n">
        <v>8.6</v>
      </c>
      <c r="K429" s="13" t="n">
        <v>153</v>
      </c>
      <c r="L429" s="13" t="n">
        <v>9</v>
      </c>
    </row>
    <row r="430">
      <c r="A430" s="11" t="inlineStr">
        <is>
          <t>HOSP-0429</t>
        </is>
      </c>
      <c r="B430" s="61" t="n">
        <v>45901</v>
      </c>
      <c r="C430" s="11" t="inlineStr">
        <is>
          <t>Site 06</t>
        </is>
      </c>
      <c r="D430" s="11" t="inlineStr">
        <is>
          <t>Nephrology</t>
        </is>
      </c>
      <c r="E430" s="13" t="n">
        <v>55</v>
      </c>
      <c r="F430" s="13" t="n">
        <v>55</v>
      </c>
      <c r="G430" s="13" t="n">
        <v>386</v>
      </c>
      <c r="H430" s="13" t="n">
        <v>540</v>
      </c>
      <c r="I430" s="14" t="n">
        <v>7.02</v>
      </c>
      <c r="J430" s="62" t="n">
        <v>13</v>
      </c>
      <c r="K430" s="13" t="n">
        <v>49</v>
      </c>
      <c r="L430" s="13" t="n">
        <v>3</v>
      </c>
    </row>
    <row r="431">
      <c r="A431" s="11" t="inlineStr">
        <is>
          <t>HOSP-0430</t>
        </is>
      </c>
      <c r="B431" s="61" t="n">
        <v>45901</v>
      </c>
      <c r="C431" s="11" t="inlineStr">
        <is>
          <t>Site 06</t>
        </is>
      </c>
      <c r="D431" s="11" t="inlineStr">
        <is>
          <t>Paediatrics</t>
        </is>
      </c>
      <c r="E431" s="13" t="n">
        <v>96</v>
      </c>
      <c r="F431" s="13" t="n">
        <v>92</v>
      </c>
      <c r="G431" s="13" t="n">
        <v>282</v>
      </c>
      <c r="H431" s="13" t="n">
        <v>330</v>
      </c>
      <c r="I431" s="14" t="n">
        <v>3.07</v>
      </c>
      <c r="J431" s="62" t="n">
        <v>6</v>
      </c>
      <c r="K431" s="13" t="n">
        <v>83</v>
      </c>
      <c r="L431" s="13" t="n">
        <v>4</v>
      </c>
    </row>
    <row r="432">
      <c r="A432" s="11" t="inlineStr">
        <is>
          <t>HOSP-0431</t>
        </is>
      </c>
      <c r="B432" s="61" t="n">
        <v>45901</v>
      </c>
      <c r="C432" s="11" t="inlineStr">
        <is>
          <t>Site 07</t>
        </is>
      </c>
      <c r="D432" s="11" t="inlineStr">
        <is>
          <t>Cardiology</t>
        </is>
      </c>
      <c r="E432" s="13" t="n">
        <v>123</v>
      </c>
      <c r="F432" s="13" t="n">
        <v>119</v>
      </c>
      <c r="G432" s="13" t="n">
        <v>593</v>
      </c>
      <c r="H432" s="13" t="n">
        <v>660</v>
      </c>
      <c r="I432" s="14" t="n">
        <v>4.98</v>
      </c>
      <c r="J432" s="62" t="n">
        <v>9.4</v>
      </c>
      <c r="K432" s="13" t="n">
        <v>103</v>
      </c>
      <c r="L432" s="13" t="n">
        <v>9</v>
      </c>
    </row>
    <row r="433">
      <c r="A433" s="11" t="inlineStr">
        <is>
          <t>HOSP-0432</t>
        </is>
      </c>
      <c r="B433" s="61" t="n">
        <v>45901</v>
      </c>
      <c r="C433" s="11" t="inlineStr">
        <is>
          <t>Site 07</t>
        </is>
      </c>
      <c r="D433" s="11" t="inlineStr">
        <is>
          <t>Orthopaedics</t>
        </is>
      </c>
      <c r="E433" s="13" t="n">
        <v>80</v>
      </c>
      <c r="F433" s="13" t="n">
        <v>82</v>
      </c>
      <c r="G433" s="13" t="n">
        <v>429</v>
      </c>
      <c r="H433" s="13" t="n">
        <v>570</v>
      </c>
      <c r="I433" s="14" t="n">
        <v>5.23</v>
      </c>
      <c r="J433" s="62" t="n">
        <v>13.1</v>
      </c>
      <c r="K433" s="13" t="n">
        <v>71</v>
      </c>
      <c r="L433" s="13" t="n">
        <v>11</v>
      </c>
    </row>
    <row r="434">
      <c r="A434" s="11" t="inlineStr">
        <is>
          <t>HOSP-0433</t>
        </is>
      </c>
      <c r="B434" s="61" t="n">
        <v>45901</v>
      </c>
      <c r="C434" s="11" t="inlineStr">
        <is>
          <t>Site 07</t>
        </is>
      </c>
      <c r="D434" s="11" t="inlineStr">
        <is>
          <t>General Medicine</t>
        </is>
      </c>
      <c r="E434" s="13" t="n">
        <v>145</v>
      </c>
      <c r="F434" s="13" t="n">
        <v>139</v>
      </c>
      <c r="G434" s="13" t="n">
        <v>593</v>
      </c>
      <c r="H434" s="13" t="n">
        <v>720</v>
      </c>
      <c r="I434" s="14" t="n">
        <v>4.27</v>
      </c>
      <c r="J434" s="62" t="n">
        <v>9.300000000000001</v>
      </c>
      <c r="K434" s="13" t="n">
        <v>126</v>
      </c>
      <c r="L434" s="13" t="n">
        <v>7</v>
      </c>
    </row>
    <row r="435">
      <c r="A435" s="11" t="inlineStr">
        <is>
          <t>HOSP-0434</t>
        </is>
      </c>
      <c r="B435" s="61" t="n">
        <v>45901</v>
      </c>
      <c r="C435" s="11" t="inlineStr">
        <is>
          <t>Site 07</t>
        </is>
      </c>
      <c r="D435" s="11" t="inlineStr">
        <is>
          <t>Nephrology</t>
        </is>
      </c>
      <c r="E435" s="13" t="n">
        <v>63</v>
      </c>
      <c r="F435" s="13" t="n">
        <v>66</v>
      </c>
      <c r="G435" s="13" t="n">
        <v>443</v>
      </c>
      <c r="H435" s="13" t="n">
        <v>540</v>
      </c>
      <c r="I435" s="14" t="n">
        <v>6.71</v>
      </c>
      <c r="J435" s="62" t="n">
        <v>9.699999999999999</v>
      </c>
      <c r="K435" s="13" t="n">
        <v>60</v>
      </c>
      <c r="L435" s="13" t="n">
        <v>7</v>
      </c>
    </row>
    <row r="436">
      <c r="A436" s="11" t="inlineStr">
        <is>
          <t>HOSP-0435</t>
        </is>
      </c>
      <c r="B436" s="61" t="n">
        <v>45901</v>
      </c>
      <c r="C436" s="11" t="inlineStr">
        <is>
          <t>Site 07</t>
        </is>
      </c>
      <c r="D436" s="11" t="inlineStr">
        <is>
          <t>Paediatrics</t>
        </is>
      </c>
      <c r="E436" s="13" t="n">
        <v>91</v>
      </c>
      <c r="F436" s="13" t="n">
        <v>95</v>
      </c>
      <c r="G436" s="13" t="n">
        <v>315</v>
      </c>
      <c r="H436" s="13" t="n">
        <v>330</v>
      </c>
      <c r="I436" s="14" t="n">
        <v>3.32</v>
      </c>
      <c r="J436" s="62" t="n">
        <v>8.1</v>
      </c>
      <c r="K436" s="13" t="n">
        <v>89</v>
      </c>
      <c r="L436" s="13" t="n">
        <v>4</v>
      </c>
    </row>
    <row r="437">
      <c r="A437" s="11" t="inlineStr">
        <is>
          <t>HOSP-0436</t>
        </is>
      </c>
      <c r="B437" s="61" t="n">
        <v>45901</v>
      </c>
      <c r="C437" s="11" t="inlineStr">
        <is>
          <t>Site 08</t>
        </is>
      </c>
      <c r="D437" s="11" t="inlineStr">
        <is>
          <t>Cardiology</t>
        </is>
      </c>
      <c r="E437" s="13" t="n">
        <v>131</v>
      </c>
      <c r="F437" s="13" t="n">
        <v>126</v>
      </c>
      <c r="G437" s="13" t="n">
        <v>595</v>
      </c>
      <c r="H437" s="13" t="n">
        <v>660</v>
      </c>
      <c r="I437" s="14" t="n">
        <v>4.72</v>
      </c>
      <c r="J437" s="62" t="n">
        <v>11.8</v>
      </c>
      <c r="K437" s="13" t="n">
        <v>117</v>
      </c>
      <c r="L437" s="13" t="n">
        <v>10</v>
      </c>
    </row>
    <row r="438">
      <c r="A438" s="11" t="inlineStr">
        <is>
          <t>HOSP-0437</t>
        </is>
      </c>
      <c r="B438" s="61" t="n">
        <v>45901</v>
      </c>
      <c r="C438" s="11" t="inlineStr">
        <is>
          <t>Site 08</t>
        </is>
      </c>
      <c r="D438" s="11" t="inlineStr">
        <is>
          <t>Orthopaedics</t>
        </is>
      </c>
      <c r="E438" s="13" t="n">
        <v>82</v>
      </c>
      <c r="F438" s="13" t="n">
        <v>86</v>
      </c>
      <c r="G438" s="13" t="n">
        <v>494</v>
      </c>
      <c r="H438" s="13" t="n">
        <v>570</v>
      </c>
      <c r="I438" s="14" t="n">
        <v>5.74</v>
      </c>
      <c r="J438" s="62" t="n">
        <v>14.5</v>
      </c>
      <c r="K438" s="13" t="n">
        <v>74</v>
      </c>
      <c r="L438" s="13" t="n">
        <v>9</v>
      </c>
    </row>
    <row r="439">
      <c r="A439" s="11" t="inlineStr">
        <is>
          <t>HOSP-0438</t>
        </is>
      </c>
      <c r="B439" s="61" t="n">
        <v>45901</v>
      </c>
      <c r="C439" s="11" t="inlineStr">
        <is>
          <t>Site 08</t>
        </is>
      </c>
      <c r="D439" s="11" t="inlineStr">
        <is>
          <t>General Medicine</t>
        </is>
      </c>
      <c r="E439" s="13" t="n">
        <v>167</v>
      </c>
      <c r="F439" s="13" t="n">
        <v>171</v>
      </c>
      <c r="G439" s="13" t="n">
        <v>707</v>
      </c>
      <c r="H439" s="13" t="n">
        <v>720</v>
      </c>
      <c r="I439" s="14" t="n">
        <v>4.13</v>
      </c>
      <c r="J439" s="62" t="n">
        <v>7.1</v>
      </c>
      <c r="K439" s="13" t="n">
        <v>150</v>
      </c>
      <c r="L439" s="13" t="n">
        <v>10</v>
      </c>
    </row>
    <row r="440">
      <c r="A440" s="11" t="inlineStr">
        <is>
          <t>HOSP-0439</t>
        </is>
      </c>
      <c r="B440" s="61" t="n">
        <v>45901</v>
      </c>
      <c r="C440" s="11" t="inlineStr">
        <is>
          <t>Site 08</t>
        </is>
      </c>
      <c r="D440" s="11" t="inlineStr">
        <is>
          <t>Nephrology</t>
        </is>
      </c>
      <c r="E440" s="13" t="n">
        <v>72</v>
      </c>
      <c r="F440" s="13" t="n">
        <v>68</v>
      </c>
      <c r="G440" s="13" t="n">
        <v>516</v>
      </c>
      <c r="H440" s="13" t="n">
        <v>540</v>
      </c>
      <c r="I440" s="14" t="n">
        <v>7.59</v>
      </c>
      <c r="J440" s="62" t="n">
        <v>13.7</v>
      </c>
      <c r="K440" s="13" t="n">
        <v>63</v>
      </c>
      <c r="L440" s="13" t="n">
        <v>5</v>
      </c>
    </row>
    <row r="441">
      <c r="A441" s="11" t="inlineStr">
        <is>
          <t>HOSP-0440</t>
        </is>
      </c>
      <c r="B441" s="61" t="n">
        <v>45901</v>
      </c>
      <c r="C441" s="11" t="inlineStr">
        <is>
          <t>Site 08</t>
        </is>
      </c>
      <c r="D441" s="11" t="inlineStr">
        <is>
          <t>Paediatrics</t>
        </is>
      </c>
      <c r="E441" s="13" t="n">
        <v>91</v>
      </c>
      <c r="F441" s="13" t="n">
        <v>85</v>
      </c>
      <c r="G441" s="13" t="n">
        <v>272</v>
      </c>
      <c r="H441" s="13" t="n">
        <v>330</v>
      </c>
      <c r="I441" s="14" t="n">
        <v>3.2</v>
      </c>
      <c r="J441" s="62" t="n">
        <v>5.9</v>
      </c>
      <c r="K441" s="13" t="n">
        <v>77</v>
      </c>
      <c r="L441" s="13" t="n">
        <v>4</v>
      </c>
    </row>
    <row r="442">
      <c r="A442" s="11" t="inlineStr">
        <is>
          <t>HOSP-0441</t>
        </is>
      </c>
      <c r="B442" s="61" t="n">
        <v>45901</v>
      </c>
      <c r="C442" s="11" t="inlineStr">
        <is>
          <t>Site 09</t>
        </is>
      </c>
      <c r="D442" s="11" t="inlineStr">
        <is>
          <t>Cardiology</t>
        </is>
      </c>
      <c r="E442" s="13" t="n">
        <v>102</v>
      </c>
      <c r="F442" s="13" t="n">
        <v>104</v>
      </c>
      <c r="G442" s="13" t="n">
        <v>481</v>
      </c>
      <c r="H442" s="13" t="n">
        <v>660</v>
      </c>
      <c r="I442" s="14" t="n">
        <v>4.62</v>
      </c>
      <c r="J442" s="62" t="n">
        <v>8.1</v>
      </c>
      <c r="K442" s="13" t="n">
        <v>91</v>
      </c>
      <c r="L442" s="13" t="n">
        <v>6</v>
      </c>
    </row>
    <row r="443">
      <c r="A443" s="11" t="inlineStr">
        <is>
          <t>HOSP-0442</t>
        </is>
      </c>
      <c r="B443" s="61" t="n">
        <v>45901</v>
      </c>
      <c r="C443" s="11" t="inlineStr">
        <is>
          <t>Site 09</t>
        </is>
      </c>
      <c r="D443" s="11" t="inlineStr">
        <is>
          <t>Orthopaedics</t>
        </is>
      </c>
      <c r="E443" s="13" t="n">
        <v>67</v>
      </c>
      <c r="F443" s="13" t="n">
        <v>66</v>
      </c>
      <c r="G443" s="13" t="n">
        <v>374</v>
      </c>
      <c r="H443" s="13" t="n">
        <v>570</v>
      </c>
      <c r="I443" s="14" t="n">
        <v>5.67</v>
      </c>
      <c r="J443" s="62" t="n">
        <v>12.8</v>
      </c>
      <c r="K443" s="13" t="n">
        <v>58</v>
      </c>
      <c r="L443" s="13" t="n">
        <v>7</v>
      </c>
    </row>
    <row r="444">
      <c r="A444" s="11" t="inlineStr">
        <is>
          <t>HOSP-0443</t>
        </is>
      </c>
      <c r="B444" s="61" t="n">
        <v>45901</v>
      </c>
      <c r="C444" s="11" t="inlineStr">
        <is>
          <t>Site 09</t>
        </is>
      </c>
      <c r="D444" s="11" t="inlineStr">
        <is>
          <t>General Medicine</t>
        </is>
      </c>
      <c r="E444" s="13" t="n">
        <v>149</v>
      </c>
      <c r="F444" s="13" t="n">
        <v>153</v>
      </c>
      <c r="G444" s="13" t="n">
        <v>613</v>
      </c>
      <c r="H444" s="13" t="n">
        <v>720</v>
      </c>
      <c r="I444" s="14" t="n">
        <v>4.01</v>
      </c>
      <c r="J444" s="62" t="n">
        <v>7.6</v>
      </c>
      <c r="K444" s="13" t="n">
        <v>133</v>
      </c>
      <c r="L444" s="13" t="n">
        <v>8</v>
      </c>
    </row>
    <row r="445">
      <c r="A445" s="11" t="inlineStr">
        <is>
          <t>HOSP-0444</t>
        </is>
      </c>
      <c r="B445" s="61" t="n">
        <v>45901</v>
      </c>
      <c r="C445" s="11" t="inlineStr">
        <is>
          <t>Site 09</t>
        </is>
      </c>
      <c r="D445" s="11" t="inlineStr">
        <is>
          <t>Nephrology</t>
        </is>
      </c>
      <c r="E445" s="13" t="n">
        <v>52</v>
      </c>
      <c r="F445" s="13" t="n">
        <v>50</v>
      </c>
      <c r="G445" s="13" t="n">
        <v>369</v>
      </c>
      <c r="H445" s="13" t="n">
        <v>540</v>
      </c>
      <c r="I445" s="14" t="n">
        <v>7.38</v>
      </c>
      <c r="J445" s="62" t="n">
        <v>12.6</v>
      </c>
      <c r="K445" s="13" t="n">
        <v>45</v>
      </c>
      <c r="L445" s="13" t="n">
        <v>4</v>
      </c>
    </row>
    <row r="446">
      <c r="A446" s="11" t="inlineStr">
        <is>
          <t>HOSP-0445</t>
        </is>
      </c>
      <c r="B446" s="61" t="n">
        <v>45901</v>
      </c>
      <c r="C446" s="11" t="inlineStr">
        <is>
          <t>Site 09</t>
        </is>
      </c>
      <c r="D446" s="11" t="inlineStr">
        <is>
          <t>Paediatrics</t>
        </is>
      </c>
      <c r="E446" s="13" t="n">
        <v>81</v>
      </c>
      <c r="F446" s="13" t="n">
        <v>81</v>
      </c>
      <c r="G446" s="13" t="n">
        <v>278</v>
      </c>
      <c r="H446" s="13" t="n">
        <v>330</v>
      </c>
      <c r="I446" s="14" t="n">
        <v>3.43</v>
      </c>
      <c r="J446" s="62" t="n">
        <v>5.8</v>
      </c>
      <c r="K446" s="13" t="n">
        <v>75</v>
      </c>
      <c r="L446" s="13" t="n">
        <v>4</v>
      </c>
    </row>
    <row r="447">
      <c r="A447" s="11" t="inlineStr">
        <is>
          <t>HOSP-0446</t>
        </is>
      </c>
      <c r="B447" s="61" t="n">
        <v>45901</v>
      </c>
      <c r="C447" s="11" t="inlineStr">
        <is>
          <t>Site 10</t>
        </is>
      </c>
      <c r="D447" s="11" t="inlineStr">
        <is>
          <t>Cardiology</t>
        </is>
      </c>
      <c r="E447" s="13" t="n">
        <v>105</v>
      </c>
      <c r="F447" s="13" t="n">
        <v>99</v>
      </c>
      <c r="G447" s="13" t="n">
        <v>511</v>
      </c>
      <c r="H447" s="13" t="n">
        <v>660</v>
      </c>
      <c r="I447" s="14" t="n">
        <v>5.16</v>
      </c>
      <c r="J447" s="62" t="n">
        <v>10.6</v>
      </c>
      <c r="K447" s="13" t="n">
        <v>89</v>
      </c>
      <c r="L447" s="13" t="n">
        <v>9</v>
      </c>
    </row>
    <row r="448">
      <c r="A448" s="11" t="inlineStr">
        <is>
          <t>HOSP-0447</t>
        </is>
      </c>
      <c r="B448" s="61" t="n">
        <v>45901</v>
      </c>
      <c r="C448" s="11" t="inlineStr">
        <is>
          <t>Site 10</t>
        </is>
      </c>
      <c r="D448" s="11" t="inlineStr">
        <is>
          <t>Orthopaedics</t>
        </is>
      </c>
      <c r="E448" s="13" t="n">
        <v>75</v>
      </c>
      <c r="F448" s="13" t="n">
        <v>69</v>
      </c>
      <c r="G448" s="13" t="n">
        <v>403</v>
      </c>
      <c r="H448" s="13" t="n">
        <v>570</v>
      </c>
      <c r="I448" s="14" t="n">
        <v>5.84</v>
      </c>
      <c r="J448" s="62" t="n">
        <v>15.3</v>
      </c>
      <c r="K448" s="13" t="n">
        <v>61</v>
      </c>
      <c r="L448" s="13" t="n">
        <v>9</v>
      </c>
    </row>
    <row r="449">
      <c r="A449" s="11" t="inlineStr">
        <is>
          <t>HOSP-0448</t>
        </is>
      </c>
      <c r="B449" s="61" t="n">
        <v>45901</v>
      </c>
      <c r="C449" s="11" t="inlineStr">
        <is>
          <t>Site 10</t>
        </is>
      </c>
      <c r="D449" s="11" t="inlineStr">
        <is>
          <t>General Medicine</t>
        </is>
      </c>
      <c r="E449" s="13" t="n">
        <v>174</v>
      </c>
      <c r="F449" s="13" t="n">
        <v>180</v>
      </c>
      <c r="G449" s="13" t="n">
        <v>715</v>
      </c>
      <c r="H449" s="13" t="n">
        <v>720</v>
      </c>
      <c r="I449" s="14" t="n">
        <v>3.97</v>
      </c>
      <c r="J449" s="62" t="n">
        <v>5.9</v>
      </c>
      <c r="K449" s="13" t="n">
        <v>159</v>
      </c>
      <c r="L449" s="13" t="n">
        <v>12</v>
      </c>
    </row>
    <row r="450">
      <c r="A450" s="11" t="inlineStr">
        <is>
          <t>HOSP-0449</t>
        </is>
      </c>
      <c r="B450" s="61" t="n">
        <v>45901</v>
      </c>
      <c r="C450" s="11" t="inlineStr">
        <is>
          <t>Site 10</t>
        </is>
      </c>
      <c r="D450" s="11" t="inlineStr">
        <is>
          <t>Nephrology</t>
        </is>
      </c>
      <c r="E450" s="13" t="n">
        <v>57</v>
      </c>
      <c r="F450" s="13" t="n">
        <v>54</v>
      </c>
      <c r="G450" s="13" t="n">
        <v>447</v>
      </c>
      <c r="H450" s="13" t="n">
        <v>540</v>
      </c>
      <c r="I450" s="14" t="n">
        <v>8.279999999999999</v>
      </c>
      <c r="J450" s="62" t="n">
        <v>13.2</v>
      </c>
      <c r="K450" s="13" t="n">
        <v>49</v>
      </c>
      <c r="L450" s="13" t="n">
        <v>5</v>
      </c>
    </row>
    <row r="451">
      <c r="A451" s="11" t="inlineStr">
        <is>
          <t>HOSP-0450</t>
        </is>
      </c>
      <c r="B451" s="61" t="n">
        <v>45901</v>
      </c>
      <c r="C451" s="11" t="inlineStr">
        <is>
          <t>Site 10</t>
        </is>
      </c>
      <c r="D451" s="11" t="inlineStr">
        <is>
          <t>Paediatrics</t>
        </is>
      </c>
      <c r="E451" s="13" t="n">
        <v>95</v>
      </c>
      <c r="F451" s="13" t="n">
        <v>92</v>
      </c>
      <c r="G451" s="13" t="n">
        <v>291</v>
      </c>
      <c r="H451" s="13" t="n">
        <v>330</v>
      </c>
      <c r="I451" s="14" t="n">
        <v>3.16</v>
      </c>
      <c r="J451" s="62" t="n">
        <v>7.2</v>
      </c>
      <c r="K451" s="13" t="n">
        <v>82</v>
      </c>
      <c r="L451" s="13" t="n">
        <v>4</v>
      </c>
    </row>
    <row r="452">
      <c r="A452" s="11" t="inlineStr">
        <is>
          <t>HOSP-0451</t>
        </is>
      </c>
      <c r="B452" s="61" t="n">
        <v>45931</v>
      </c>
      <c r="C452" s="11" t="inlineStr">
        <is>
          <t>Site 01</t>
        </is>
      </c>
      <c r="D452" s="11" t="inlineStr">
        <is>
          <t>Cardiology</t>
        </is>
      </c>
      <c r="E452" s="13" t="n">
        <v>125</v>
      </c>
      <c r="F452" s="13" t="n">
        <v>124</v>
      </c>
      <c r="G452" s="13" t="n">
        <v>676</v>
      </c>
      <c r="H452" s="13" t="n">
        <v>682</v>
      </c>
      <c r="I452" s="14" t="n">
        <v>5.45</v>
      </c>
      <c r="J452" s="62" t="n">
        <v>10.7</v>
      </c>
      <c r="K452" s="13" t="n">
        <v>112</v>
      </c>
      <c r="L452" s="13" t="n">
        <v>9</v>
      </c>
    </row>
    <row r="453">
      <c r="A453" s="11" t="inlineStr">
        <is>
          <t>HOSP-0452</t>
        </is>
      </c>
      <c r="B453" s="61" t="n">
        <v>45931</v>
      </c>
      <c r="C453" s="11" t="inlineStr">
        <is>
          <t>Site 01</t>
        </is>
      </c>
      <c r="D453" s="11" t="inlineStr">
        <is>
          <t>Orthopaedics</t>
        </is>
      </c>
      <c r="E453" s="13" t="n">
        <v>88</v>
      </c>
      <c r="F453" s="13" t="n">
        <v>90</v>
      </c>
      <c r="G453" s="13" t="n">
        <v>567</v>
      </c>
      <c r="H453" s="13" t="n">
        <v>589</v>
      </c>
      <c r="I453" s="14" t="n">
        <v>6.3</v>
      </c>
      <c r="J453" s="62" t="n">
        <v>11.1</v>
      </c>
      <c r="K453" s="13" t="n">
        <v>82</v>
      </c>
      <c r="L453" s="13" t="n">
        <v>12</v>
      </c>
    </row>
    <row r="454">
      <c r="A454" s="11" t="inlineStr">
        <is>
          <t>HOSP-0453</t>
        </is>
      </c>
      <c r="B454" s="61" t="n">
        <v>45931</v>
      </c>
      <c r="C454" s="11" t="inlineStr">
        <is>
          <t>Site 01</t>
        </is>
      </c>
      <c r="D454" s="11" t="inlineStr">
        <is>
          <t>General Medicine</t>
        </is>
      </c>
      <c r="E454" s="13" t="n">
        <v>157</v>
      </c>
      <c r="F454" s="13" t="n">
        <v>154</v>
      </c>
      <c r="G454" s="13" t="n">
        <v>686</v>
      </c>
      <c r="H454" s="13" t="n">
        <v>744</v>
      </c>
      <c r="I454" s="14" t="n">
        <v>4.45</v>
      </c>
      <c r="J454" s="62" t="n">
        <v>8.699999999999999</v>
      </c>
      <c r="K454" s="13" t="n">
        <v>132</v>
      </c>
      <c r="L454" s="13" t="n">
        <v>7</v>
      </c>
    </row>
    <row r="455">
      <c r="A455" s="11" t="inlineStr">
        <is>
          <t>HOSP-0454</t>
        </is>
      </c>
      <c r="B455" s="61" t="n">
        <v>45931</v>
      </c>
      <c r="C455" s="11" t="inlineStr">
        <is>
          <t>Site 01</t>
        </is>
      </c>
      <c r="D455" s="11" t="inlineStr">
        <is>
          <t>Nephrology</t>
        </is>
      </c>
      <c r="E455" s="13" t="n">
        <v>63</v>
      </c>
      <c r="F455" s="13" t="n">
        <v>67</v>
      </c>
      <c r="G455" s="13" t="n">
        <v>506</v>
      </c>
      <c r="H455" s="13" t="n">
        <v>558</v>
      </c>
      <c r="I455" s="14" t="n">
        <v>7.55</v>
      </c>
      <c r="J455" s="62" t="n">
        <v>14.2</v>
      </c>
      <c r="K455" s="13" t="n">
        <v>60</v>
      </c>
      <c r="L455" s="13" t="n">
        <v>6</v>
      </c>
    </row>
    <row r="456">
      <c r="A456" s="11" t="inlineStr">
        <is>
          <t>HOSP-0455</t>
        </is>
      </c>
      <c r="B456" s="61" t="n">
        <v>45931</v>
      </c>
      <c r="C456" s="11" t="inlineStr">
        <is>
          <t>Site 01</t>
        </is>
      </c>
      <c r="D456" s="11" t="inlineStr">
        <is>
          <t>Paediatrics</t>
        </is>
      </c>
      <c r="E456" s="13" t="n">
        <v>91</v>
      </c>
      <c r="F456" s="13" t="n">
        <v>95</v>
      </c>
      <c r="G456" s="13" t="n">
        <v>313</v>
      </c>
      <c r="H456" s="13" t="n">
        <v>341</v>
      </c>
      <c r="I456" s="14" t="n">
        <v>3.29</v>
      </c>
      <c r="J456" s="62" t="n">
        <v>5.8</v>
      </c>
      <c r="K456" s="13" t="n">
        <v>82</v>
      </c>
      <c r="L456" s="13" t="n">
        <v>5</v>
      </c>
    </row>
    <row r="457">
      <c r="A457" s="11" t="inlineStr">
        <is>
          <t>HOSP-0456</t>
        </is>
      </c>
      <c r="B457" s="61" t="n">
        <v>45931</v>
      </c>
      <c r="C457" s="11" t="inlineStr">
        <is>
          <t>Site 02</t>
        </is>
      </c>
      <c r="D457" s="11" t="inlineStr">
        <is>
          <t>Cardiology</t>
        </is>
      </c>
      <c r="E457" s="13" t="n">
        <v>105</v>
      </c>
      <c r="F457" s="13" t="n">
        <v>107</v>
      </c>
      <c r="G457" s="13" t="n">
        <v>572</v>
      </c>
      <c r="H457" s="13" t="n">
        <v>682</v>
      </c>
      <c r="I457" s="14" t="n">
        <v>5.35</v>
      </c>
      <c r="J457" s="62" t="n">
        <v>11</v>
      </c>
      <c r="K457" s="13" t="n">
        <v>98</v>
      </c>
      <c r="L457" s="13" t="n">
        <v>9</v>
      </c>
    </row>
    <row r="458">
      <c r="A458" s="11" t="inlineStr">
        <is>
          <t>HOSP-0457</t>
        </is>
      </c>
      <c r="B458" s="61" t="n">
        <v>45931</v>
      </c>
      <c r="C458" s="11" t="inlineStr">
        <is>
          <t>Site 02</t>
        </is>
      </c>
      <c r="D458" s="11" t="inlineStr">
        <is>
          <t>Orthopaedics</t>
        </is>
      </c>
      <c r="E458" s="13" t="n">
        <v>72</v>
      </c>
      <c r="F458" s="13" t="n">
        <v>72</v>
      </c>
      <c r="G458" s="13" t="n">
        <v>431</v>
      </c>
      <c r="H458" s="13" t="n">
        <v>589</v>
      </c>
      <c r="I458" s="14" t="n">
        <v>5.99</v>
      </c>
      <c r="J458" s="62" t="n">
        <v>17.4</v>
      </c>
      <c r="K458" s="13" t="n">
        <v>63</v>
      </c>
      <c r="L458" s="13" t="n">
        <v>9</v>
      </c>
    </row>
    <row r="459">
      <c r="A459" s="11" t="inlineStr">
        <is>
          <t>HOSP-0458</t>
        </is>
      </c>
      <c r="B459" s="61" t="n">
        <v>45931</v>
      </c>
      <c r="C459" s="11" t="inlineStr">
        <is>
          <t>Site 02</t>
        </is>
      </c>
      <c r="D459" s="11" t="inlineStr">
        <is>
          <t>General Medicine</t>
        </is>
      </c>
      <c r="E459" s="13" t="n">
        <v>127</v>
      </c>
      <c r="F459" s="13" t="n">
        <v>121</v>
      </c>
      <c r="G459" s="13" t="n">
        <v>481</v>
      </c>
      <c r="H459" s="13" t="n">
        <v>744</v>
      </c>
      <c r="I459" s="14" t="n">
        <v>3.98</v>
      </c>
      <c r="J459" s="62" t="n">
        <v>7.6</v>
      </c>
      <c r="K459" s="13" t="n">
        <v>109</v>
      </c>
      <c r="L459" s="13" t="n">
        <v>7</v>
      </c>
    </row>
    <row r="460">
      <c r="A460" s="11" t="inlineStr">
        <is>
          <t>HOSP-0459</t>
        </is>
      </c>
      <c r="B460" s="61" t="n">
        <v>45931</v>
      </c>
      <c r="C460" s="11" t="inlineStr">
        <is>
          <t>Site 02</t>
        </is>
      </c>
      <c r="D460" s="11" t="inlineStr">
        <is>
          <t>Nephrology</t>
        </is>
      </c>
      <c r="E460" s="13" t="n">
        <v>52</v>
      </c>
      <c r="F460" s="13" t="n">
        <v>47</v>
      </c>
      <c r="G460" s="13" t="n">
        <v>385</v>
      </c>
      <c r="H460" s="13" t="n">
        <v>558</v>
      </c>
      <c r="I460" s="14" t="n">
        <v>8.19</v>
      </c>
      <c r="J460" s="62" t="n">
        <v>14.7</v>
      </c>
      <c r="K460" s="13" t="n">
        <v>44</v>
      </c>
      <c r="L460" s="13" t="n">
        <v>4</v>
      </c>
    </row>
    <row r="461">
      <c r="A461" s="11" t="inlineStr">
        <is>
          <t>HOSP-0460</t>
        </is>
      </c>
      <c r="B461" s="61" t="n">
        <v>45931</v>
      </c>
      <c r="C461" s="11" t="inlineStr">
        <is>
          <t>Site 02</t>
        </is>
      </c>
      <c r="D461" s="11" t="inlineStr">
        <is>
          <t>Paediatrics</t>
        </is>
      </c>
      <c r="E461" s="13" t="n">
        <v>82</v>
      </c>
      <c r="F461" s="13" t="n">
        <v>82</v>
      </c>
      <c r="G461" s="13" t="n">
        <v>274</v>
      </c>
      <c r="H461" s="13" t="n">
        <v>341</v>
      </c>
      <c r="I461" s="14" t="n">
        <v>3.34</v>
      </c>
      <c r="J461" s="62" t="n">
        <v>7.8</v>
      </c>
      <c r="K461" s="13" t="n">
        <v>77</v>
      </c>
      <c r="L461" s="13" t="n">
        <v>3</v>
      </c>
    </row>
    <row r="462">
      <c r="A462" s="11" t="inlineStr">
        <is>
          <t>HOSP-0461</t>
        </is>
      </c>
      <c r="B462" s="61" t="n">
        <v>45931</v>
      </c>
      <c r="C462" s="11" t="inlineStr">
        <is>
          <t>Site 03</t>
        </is>
      </c>
      <c r="D462" s="11" t="inlineStr">
        <is>
          <t>Cardiology</t>
        </is>
      </c>
      <c r="E462" s="13" t="n">
        <v>116</v>
      </c>
      <c r="F462" s="13" t="n">
        <v>119</v>
      </c>
      <c r="G462" s="13" t="n">
        <v>552</v>
      </c>
      <c r="H462" s="13" t="n">
        <v>682</v>
      </c>
      <c r="I462" s="14" t="n">
        <v>4.64</v>
      </c>
      <c r="J462" s="62" t="n">
        <v>11.1</v>
      </c>
      <c r="K462" s="13" t="n">
        <v>105</v>
      </c>
      <c r="L462" s="13" t="n">
        <v>9</v>
      </c>
    </row>
    <row r="463">
      <c r="A463" s="11" t="inlineStr">
        <is>
          <t>HOSP-0462</t>
        </is>
      </c>
      <c r="B463" s="61" t="n">
        <v>45931</v>
      </c>
      <c r="C463" s="11" t="inlineStr">
        <is>
          <t>Site 03</t>
        </is>
      </c>
      <c r="D463" s="11" t="inlineStr">
        <is>
          <t>Orthopaedics</t>
        </is>
      </c>
      <c r="E463" s="13" t="n">
        <v>90</v>
      </c>
      <c r="F463" s="13" t="n">
        <v>91</v>
      </c>
      <c r="G463" s="13" t="n">
        <v>561</v>
      </c>
      <c r="H463" s="13" t="n">
        <v>589</v>
      </c>
      <c r="I463" s="14" t="n">
        <v>6.16</v>
      </c>
      <c r="J463" s="62" t="n">
        <v>13.9</v>
      </c>
      <c r="K463" s="13" t="n">
        <v>82</v>
      </c>
      <c r="L463" s="13" t="n">
        <v>9</v>
      </c>
    </row>
    <row r="464">
      <c r="A464" s="11" t="inlineStr">
        <is>
          <t>HOSP-0463</t>
        </is>
      </c>
      <c r="B464" s="61" t="n">
        <v>45931</v>
      </c>
      <c r="C464" s="11" t="inlineStr">
        <is>
          <t>Site 03</t>
        </is>
      </c>
      <c r="D464" s="11" t="inlineStr">
        <is>
          <t>General Medicine</t>
        </is>
      </c>
      <c r="E464" s="13" t="n">
        <v>152</v>
      </c>
      <c r="F464" s="13" t="n">
        <v>153</v>
      </c>
      <c r="G464" s="13" t="n">
        <v>662</v>
      </c>
      <c r="H464" s="13" t="n">
        <v>744</v>
      </c>
      <c r="I464" s="14" t="n">
        <v>4.33</v>
      </c>
      <c r="J464" s="62" t="n">
        <v>7</v>
      </c>
      <c r="K464" s="13" t="n">
        <v>140</v>
      </c>
      <c r="L464" s="13" t="n">
        <v>8</v>
      </c>
    </row>
    <row r="465">
      <c r="A465" s="11" t="inlineStr">
        <is>
          <t>HOSP-0464</t>
        </is>
      </c>
      <c r="B465" s="61" t="n">
        <v>45931</v>
      </c>
      <c r="C465" s="11" t="inlineStr">
        <is>
          <t>Site 03</t>
        </is>
      </c>
      <c r="D465" s="11" t="inlineStr">
        <is>
          <t>Nephrology</t>
        </is>
      </c>
      <c r="E465" s="13" t="n">
        <v>61</v>
      </c>
      <c r="F465" s="13" t="n">
        <v>57</v>
      </c>
      <c r="G465" s="13" t="n">
        <v>457</v>
      </c>
      <c r="H465" s="13" t="n">
        <v>558</v>
      </c>
      <c r="I465" s="14" t="n">
        <v>8.02</v>
      </c>
      <c r="J465" s="62" t="n">
        <v>14</v>
      </c>
      <c r="K465" s="13" t="n">
        <v>53</v>
      </c>
      <c r="L465" s="13" t="n">
        <v>6</v>
      </c>
    </row>
    <row r="466">
      <c r="A466" s="11" t="inlineStr">
        <is>
          <t>HOSP-0465</t>
        </is>
      </c>
      <c r="B466" s="61" t="n">
        <v>45931</v>
      </c>
      <c r="C466" s="11" t="inlineStr">
        <is>
          <t>Site 03</t>
        </is>
      </c>
      <c r="D466" s="11" t="inlineStr">
        <is>
          <t>Paediatrics</t>
        </is>
      </c>
      <c r="E466" s="13" t="n">
        <v>94</v>
      </c>
      <c r="F466" s="13" t="n">
        <v>88</v>
      </c>
      <c r="G466" s="13" t="n">
        <v>259</v>
      </c>
      <c r="H466" s="13" t="n">
        <v>341</v>
      </c>
      <c r="I466" s="14" t="n">
        <v>2.94</v>
      </c>
      <c r="J466" s="62" t="n">
        <v>8.199999999999999</v>
      </c>
      <c r="K466" s="13" t="n">
        <v>79</v>
      </c>
      <c r="L466" s="13" t="n">
        <v>4</v>
      </c>
    </row>
    <row r="467">
      <c r="A467" s="11" t="inlineStr">
        <is>
          <t>HOSP-0466</t>
        </is>
      </c>
      <c r="B467" s="61" t="n">
        <v>45931</v>
      </c>
      <c r="C467" s="11" t="inlineStr">
        <is>
          <t>Site 04</t>
        </is>
      </c>
      <c r="D467" s="11" t="inlineStr">
        <is>
          <t>Cardiology</t>
        </is>
      </c>
      <c r="E467" s="13" t="n">
        <v>97</v>
      </c>
      <c r="F467" s="13" t="n">
        <v>99</v>
      </c>
      <c r="G467" s="13" t="n">
        <v>489</v>
      </c>
      <c r="H467" s="13" t="n">
        <v>682</v>
      </c>
      <c r="I467" s="14" t="n">
        <v>4.94</v>
      </c>
      <c r="J467" s="62" t="n">
        <v>12.1</v>
      </c>
      <c r="K467" s="13" t="n">
        <v>88</v>
      </c>
      <c r="L467" s="13" t="n">
        <v>5</v>
      </c>
    </row>
    <row r="468">
      <c r="A468" s="11" t="inlineStr">
        <is>
          <t>HOSP-0467</t>
        </is>
      </c>
      <c r="B468" s="61" t="n">
        <v>45931</v>
      </c>
      <c r="C468" s="11" t="inlineStr">
        <is>
          <t>Site 04</t>
        </is>
      </c>
      <c r="D468" s="11" t="inlineStr">
        <is>
          <t>Orthopaedics</t>
        </is>
      </c>
      <c r="E468" s="13" t="n">
        <v>84</v>
      </c>
      <c r="F468" s="13" t="n">
        <v>87</v>
      </c>
      <c r="G468" s="13" t="n">
        <v>576</v>
      </c>
      <c r="H468" s="13" t="n">
        <v>589</v>
      </c>
      <c r="I468" s="14" t="n">
        <v>6.62</v>
      </c>
      <c r="J468" s="62" t="n">
        <v>13.9</v>
      </c>
      <c r="K468" s="13" t="n">
        <v>78</v>
      </c>
      <c r="L468" s="13" t="n">
        <v>12</v>
      </c>
    </row>
    <row r="469">
      <c r="A469" s="11" t="inlineStr">
        <is>
          <t>HOSP-0468</t>
        </is>
      </c>
      <c r="B469" s="61" t="n">
        <v>45931</v>
      </c>
      <c r="C469" s="11" t="inlineStr">
        <is>
          <t>Site 04</t>
        </is>
      </c>
      <c r="D469" s="11" t="inlineStr">
        <is>
          <t>General Medicine</t>
        </is>
      </c>
      <c r="E469" s="13" t="n">
        <v>146</v>
      </c>
      <c r="F469" s="13" t="n">
        <v>142</v>
      </c>
      <c r="G469" s="13" t="n">
        <v>534</v>
      </c>
      <c r="H469" s="13" t="n">
        <v>744</v>
      </c>
      <c r="I469" s="14" t="n">
        <v>3.76</v>
      </c>
      <c r="J469" s="62" t="n">
        <v>7.8</v>
      </c>
      <c r="K469" s="13" t="n">
        <v>123</v>
      </c>
      <c r="L469" s="13" t="n">
        <v>6</v>
      </c>
    </row>
    <row r="470">
      <c r="A470" s="11" t="inlineStr">
        <is>
          <t>HOSP-0469</t>
        </is>
      </c>
      <c r="B470" s="61" t="n">
        <v>45931</v>
      </c>
      <c r="C470" s="11" t="inlineStr">
        <is>
          <t>Site 04</t>
        </is>
      </c>
      <c r="D470" s="11" t="inlineStr">
        <is>
          <t>Nephrology</t>
        </is>
      </c>
      <c r="E470" s="13" t="n">
        <v>50</v>
      </c>
      <c r="F470" s="13" t="n">
        <v>47</v>
      </c>
      <c r="G470" s="13" t="n">
        <v>353</v>
      </c>
      <c r="H470" s="13" t="n">
        <v>558</v>
      </c>
      <c r="I470" s="14" t="n">
        <v>7.51</v>
      </c>
      <c r="J470" s="62" t="n">
        <v>11.9</v>
      </c>
      <c r="K470" s="13" t="n">
        <v>42</v>
      </c>
      <c r="L470" s="13" t="n">
        <v>3</v>
      </c>
    </row>
    <row r="471">
      <c r="A471" s="11" t="inlineStr">
        <is>
          <t>HOSP-0470</t>
        </is>
      </c>
      <c r="B471" s="61" t="n">
        <v>45931</v>
      </c>
      <c r="C471" s="11" t="inlineStr">
        <is>
          <t>Site 04</t>
        </is>
      </c>
      <c r="D471" s="11" t="inlineStr">
        <is>
          <t>Paediatrics</t>
        </is>
      </c>
      <c r="E471" s="13" t="n">
        <v>88</v>
      </c>
      <c r="F471" s="13" t="n">
        <v>89</v>
      </c>
      <c r="G471" s="13" t="n">
        <v>291</v>
      </c>
      <c r="H471" s="13" t="n">
        <v>341</v>
      </c>
      <c r="I471" s="14" t="n">
        <v>3.27</v>
      </c>
      <c r="J471" s="62" t="n">
        <v>5.9</v>
      </c>
      <c r="K471" s="13" t="n">
        <v>82</v>
      </c>
      <c r="L471" s="13" t="n">
        <v>4</v>
      </c>
    </row>
    <row r="472">
      <c r="A472" s="11" t="inlineStr">
        <is>
          <t>HOSP-0471</t>
        </is>
      </c>
      <c r="B472" s="61" t="n">
        <v>45931</v>
      </c>
      <c r="C472" s="11" t="inlineStr">
        <is>
          <t>Site 05</t>
        </is>
      </c>
      <c r="D472" s="11" t="inlineStr">
        <is>
          <t>Cardiology</t>
        </is>
      </c>
      <c r="E472" s="13" t="n">
        <v>86</v>
      </c>
      <c r="F472" s="13" t="n">
        <v>87</v>
      </c>
      <c r="G472" s="13" t="n">
        <v>458</v>
      </c>
      <c r="H472" s="13" t="n">
        <v>682</v>
      </c>
      <c r="I472" s="14" t="n">
        <v>5.26</v>
      </c>
      <c r="J472" s="62" t="n">
        <v>9.800000000000001</v>
      </c>
      <c r="K472" s="13" t="n">
        <v>77</v>
      </c>
      <c r="L472" s="13" t="n">
        <v>8</v>
      </c>
    </row>
    <row r="473">
      <c r="A473" s="11" t="inlineStr">
        <is>
          <t>HOSP-0472</t>
        </is>
      </c>
      <c r="B473" s="61" t="n">
        <v>45931</v>
      </c>
      <c r="C473" s="11" t="inlineStr">
        <is>
          <t>Site 05</t>
        </is>
      </c>
      <c r="D473" s="11" t="inlineStr">
        <is>
          <t>Orthopaedics</t>
        </is>
      </c>
      <c r="E473" s="13" t="n">
        <v>71</v>
      </c>
      <c r="F473" s="13" t="n">
        <v>76</v>
      </c>
      <c r="G473" s="13" t="n">
        <v>441</v>
      </c>
      <c r="H473" s="13" t="n">
        <v>589</v>
      </c>
      <c r="I473" s="14" t="n">
        <v>5.8</v>
      </c>
      <c r="J473" s="62" t="n">
        <v>13.9</v>
      </c>
      <c r="K473" s="13" t="n">
        <v>68</v>
      </c>
      <c r="L473" s="13" t="n">
        <v>7</v>
      </c>
    </row>
    <row r="474">
      <c r="A474" s="11" t="inlineStr">
        <is>
          <t>HOSP-0473</t>
        </is>
      </c>
      <c r="B474" s="61" t="n">
        <v>45931</v>
      </c>
      <c r="C474" s="11" t="inlineStr">
        <is>
          <t>Site 05</t>
        </is>
      </c>
      <c r="D474" s="11" t="inlineStr">
        <is>
          <t>General Medicine</t>
        </is>
      </c>
      <c r="E474" s="13" t="n">
        <v>129</v>
      </c>
      <c r="F474" s="13" t="n">
        <v>123</v>
      </c>
      <c r="G474" s="13" t="n">
        <v>526</v>
      </c>
      <c r="H474" s="13" t="n">
        <v>744</v>
      </c>
      <c r="I474" s="14" t="n">
        <v>4.28</v>
      </c>
      <c r="J474" s="62" t="n">
        <v>9.199999999999999</v>
      </c>
      <c r="K474" s="13" t="n">
        <v>106</v>
      </c>
      <c r="L474" s="13" t="n">
        <v>6</v>
      </c>
    </row>
    <row r="475">
      <c r="A475" s="11" t="inlineStr">
        <is>
          <t>HOSP-0474</t>
        </is>
      </c>
      <c r="B475" s="61" t="n">
        <v>45931</v>
      </c>
      <c r="C475" s="11" t="inlineStr">
        <is>
          <t>Site 05</t>
        </is>
      </c>
      <c r="D475" s="11" t="inlineStr">
        <is>
          <t>Nephrology</t>
        </is>
      </c>
      <c r="E475" s="13" t="n">
        <v>50</v>
      </c>
      <c r="F475" s="13" t="n">
        <v>55</v>
      </c>
      <c r="G475" s="13" t="n">
        <v>414</v>
      </c>
      <c r="H475" s="13" t="n">
        <v>558</v>
      </c>
      <c r="I475" s="14" t="n">
        <v>7.53</v>
      </c>
      <c r="J475" s="62" t="n">
        <v>13.4</v>
      </c>
      <c r="K475" s="13" t="n">
        <v>49</v>
      </c>
      <c r="L475" s="13" t="n">
        <v>4</v>
      </c>
    </row>
    <row r="476">
      <c r="A476" s="11" t="inlineStr">
        <is>
          <t>HOSP-0475</t>
        </is>
      </c>
      <c r="B476" s="61" t="n">
        <v>45931</v>
      </c>
      <c r="C476" s="11" t="inlineStr">
        <is>
          <t>Site 05</t>
        </is>
      </c>
      <c r="D476" s="11" t="inlineStr">
        <is>
          <t>Paediatrics</t>
        </is>
      </c>
      <c r="E476" s="13" t="n">
        <v>68</v>
      </c>
      <c r="F476" s="13" t="n">
        <v>62</v>
      </c>
      <c r="G476" s="13" t="n">
        <v>190</v>
      </c>
      <c r="H476" s="13" t="n">
        <v>341</v>
      </c>
      <c r="I476" s="14" t="n">
        <v>3.06</v>
      </c>
      <c r="J476" s="62" t="n">
        <v>7.8</v>
      </c>
      <c r="K476" s="13" t="n">
        <v>54</v>
      </c>
      <c r="L476" s="13" t="n">
        <v>3</v>
      </c>
    </row>
    <row r="477">
      <c r="A477" s="11" t="inlineStr">
        <is>
          <t>HOSP-0476</t>
        </is>
      </c>
      <c r="B477" s="61" t="n">
        <v>45931</v>
      </c>
      <c r="C477" s="11" t="inlineStr">
        <is>
          <t>Site 06</t>
        </is>
      </c>
      <c r="D477" s="11" t="inlineStr">
        <is>
          <t>Cardiology</t>
        </is>
      </c>
      <c r="E477" s="13" t="n">
        <v>137</v>
      </c>
      <c r="F477" s="13" t="n">
        <v>137</v>
      </c>
      <c r="G477" s="13" t="n">
        <v>667</v>
      </c>
      <c r="H477" s="13" t="n">
        <v>682</v>
      </c>
      <c r="I477" s="14" t="n">
        <v>4.87</v>
      </c>
      <c r="J477" s="62" t="n">
        <v>8.1</v>
      </c>
      <c r="K477" s="13" t="n">
        <v>127</v>
      </c>
      <c r="L477" s="13" t="n">
        <v>9</v>
      </c>
    </row>
    <row r="478">
      <c r="A478" s="11" t="inlineStr">
        <is>
          <t>HOSP-0477</t>
        </is>
      </c>
      <c r="B478" s="61" t="n">
        <v>45931</v>
      </c>
      <c r="C478" s="11" t="inlineStr">
        <is>
          <t>Site 06</t>
        </is>
      </c>
      <c r="D478" s="11" t="inlineStr">
        <is>
          <t>Orthopaedics</t>
        </is>
      </c>
      <c r="E478" s="13" t="n">
        <v>84</v>
      </c>
      <c r="F478" s="13" t="n">
        <v>84</v>
      </c>
      <c r="G478" s="13" t="n">
        <v>521</v>
      </c>
      <c r="H478" s="13" t="n">
        <v>589</v>
      </c>
      <c r="I478" s="14" t="n">
        <v>6.2</v>
      </c>
      <c r="J478" s="62" t="n">
        <v>12.4</v>
      </c>
      <c r="K478" s="13" t="n">
        <v>76</v>
      </c>
      <c r="L478" s="13" t="n">
        <v>11</v>
      </c>
    </row>
    <row r="479">
      <c r="A479" s="11" t="inlineStr">
        <is>
          <t>HOSP-0478</t>
        </is>
      </c>
      <c r="B479" s="61" t="n">
        <v>45931</v>
      </c>
      <c r="C479" s="11" t="inlineStr">
        <is>
          <t>Site 06</t>
        </is>
      </c>
      <c r="D479" s="11" t="inlineStr">
        <is>
          <t>General Medicine</t>
        </is>
      </c>
      <c r="E479" s="13" t="n">
        <v>156</v>
      </c>
      <c r="F479" s="13" t="n">
        <v>162</v>
      </c>
      <c r="G479" s="13" t="n">
        <v>621</v>
      </c>
      <c r="H479" s="13" t="n">
        <v>744</v>
      </c>
      <c r="I479" s="14" t="n">
        <v>3.83</v>
      </c>
      <c r="J479" s="62" t="n">
        <v>7.7</v>
      </c>
      <c r="K479" s="13" t="n">
        <v>149</v>
      </c>
      <c r="L479" s="13" t="n">
        <v>8</v>
      </c>
    </row>
    <row r="480">
      <c r="A480" s="11" t="inlineStr">
        <is>
          <t>HOSP-0479</t>
        </is>
      </c>
      <c r="B480" s="61" t="n">
        <v>45931</v>
      </c>
      <c r="C480" s="11" t="inlineStr">
        <is>
          <t>Site 06</t>
        </is>
      </c>
      <c r="D480" s="11" t="inlineStr">
        <is>
          <t>Nephrology</t>
        </is>
      </c>
      <c r="E480" s="13" t="n">
        <v>62</v>
      </c>
      <c r="F480" s="13" t="n">
        <v>58</v>
      </c>
      <c r="G480" s="13" t="n">
        <v>445</v>
      </c>
      <c r="H480" s="13" t="n">
        <v>558</v>
      </c>
      <c r="I480" s="14" t="n">
        <v>7.67</v>
      </c>
      <c r="J480" s="62" t="n">
        <v>12.5</v>
      </c>
      <c r="K480" s="13" t="n">
        <v>51</v>
      </c>
      <c r="L480" s="13" t="n">
        <v>5</v>
      </c>
    </row>
    <row r="481">
      <c r="A481" s="11" t="inlineStr">
        <is>
          <t>HOSP-0480</t>
        </is>
      </c>
      <c r="B481" s="61" t="n">
        <v>45931</v>
      </c>
      <c r="C481" s="11" t="inlineStr">
        <is>
          <t>Site 06</t>
        </is>
      </c>
      <c r="D481" s="11" t="inlineStr">
        <is>
          <t>Paediatrics</t>
        </is>
      </c>
      <c r="E481" s="13" t="n">
        <v>105</v>
      </c>
      <c r="F481" s="13" t="n">
        <v>104</v>
      </c>
      <c r="G481" s="13" t="n">
        <v>313</v>
      </c>
      <c r="H481" s="13" t="n">
        <v>341</v>
      </c>
      <c r="I481" s="14" t="n">
        <v>3.01</v>
      </c>
      <c r="J481" s="62" t="n">
        <v>6.9</v>
      </c>
      <c r="K481" s="13" t="n">
        <v>91</v>
      </c>
      <c r="L481" s="13" t="n">
        <v>5</v>
      </c>
    </row>
    <row r="482">
      <c r="A482" s="11" t="inlineStr">
        <is>
          <t>HOSP-0481</t>
        </is>
      </c>
      <c r="B482" s="61" t="n">
        <v>45931</v>
      </c>
      <c r="C482" s="11" t="inlineStr">
        <is>
          <t>Site 07</t>
        </is>
      </c>
      <c r="D482" s="11" t="inlineStr">
        <is>
          <t>Cardiology</t>
        </is>
      </c>
      <c r="E482" s="13" t="n">
        <v>123</v>
      </c>
      <c r="F482" s="13" t="n">
        <v>118</v>
      </c>
      <c r="G482" s="13" t="n">
        <v>548</v>
      </c>
      <c r="H482" s="13" t="n">
        <v>682</v>
      </c>
      <c r="I482" s="14" t="n">
        <v>4.64</v>
      </c>
      <c r="J482" s="62" t="n">
        <v>11.1</v>
      </c>
      <c r="K482" s="13" t="n">
        <v>103</v>
      </c>
      <c r="L482" s="13" t="n">
        <v>8</v>
      </c>
    </row>
    <row r="483">
      <c r="A483" s="11" t="inlineStr">
        <is>
          <t>HOSP-0482</t>
        </is>
      </c>
      <c r="B483" s="61" t="n">
        <v>45931</v>
      </c>
      <c r="C483" s="11" t="inlineStr">
        <is>
          <t>Site 07</t>
        </is>
      </c>
      <c r="D483" s="11" t="inlineStr">
        <is>
          <t>Orthopaedics</t>
        </is>
      </c>
      <c r="E483" s="13" t="n">
        <v>85</v>
      </c>
      <c r="F483" s="13" t="n">
        <v>86</v>
      </c>
      <c r="G483" s="13" t="n">
        <v>503</v>
      </c>
      <c r="H483" s="13" t="n">
        <v>589</v>
      </c>
      <c r="I483" s="14" t="n">
        <v>5.85</v>
      </c>
      <c r="J483" s="62" t="n">
        <v>11.5</v>
      </c>
      <c r="K483" s="13" t="n">
        <v>75</v>
      </c>
      <c r="L483" s="13" t="n">
        <v>7</v>
      </c>
    </row>
    <row r="484">
      <c r="A484" s="11" t="inlineStr">
        <is>
          <t>HOSP-0483</t>
        </is>
      </c>
      <c r="B484" s="61" t="n">
        <v>45931</v>
      </c>
      <c r="C484" s="11" t="inlineStr">
        <is>
          <t>Site 07</t>
        </is>
      </c>
      <c r="D484" s="11" t="inlineStr">
        <is>
          <t>General Medicine</t>
        </is>
      </c>
      <c r="E484" s="13" t="n">
        <v>156</v>
      </c>
      <c r="F484" s="13" t="n">
        <v>162</v>
      </c>
      <c r="G484" s="13" t="n">
        <v>574</v>
      </c>
      <c r="H484" s="13" t="n">
        <v>744</v>
      </c>
      <c r="I484" s="14" t="n">
        <v>3.54</v>
      </c>
      <c r="J484" s="62" t="n">
        <v>6.8</v>
      </c>
      <c r="K484" s="13" t="n">
        <v>140</v>
      </c>
      <c r="L484" s="13" t="n">
        <v>8</v>
      </c>
    </row>
    <row r="485">
      <c r="A485" s="11" t="inlineStr">
        <is>
          <t>HOSP-0484</t>
        </is>
      </c>
      <c r="B485" s="61" t="n">
        <v>45931</v>
      </c>
      <c r="C485" s="11" t="inlineStr">
        <is>
          <t>Site 07</t>
        </is>
      </c>
      <c r="D485" s="11" t="inlineStr">
        <is>
          <t>Nephrology</t>
        </is>
      </c>
      <c r="E485" s="13" t="n">
        <v>57</v>
      </c>
      <c r="F485" s="13" t="n">
        <v>53</v>
      </c>
      <c r="G485" s="13" t="n">
        <v>448</v>
      </c>
      <c r="H485" s="13" t="n">
        <v>558</v>
      </c>
      <c r="I485" s="14" t="n">
        <v>8.449999999999999</v>
      </c>
      <c r="J485" s="62" t="n">
        <v>13.9</v>
      </c>
      <c r="K485" s="13" t="n">
        <v>48</v>
      </c>
      <c r="L485" s="13" t="n">
        <v>4</v>
      </c>
    </row>
    <row r="486">
      <c r="A486" s="11" t="inlineStr">
        <is>
          <t>HOSP-0485</t>
        </is>
      </c>
      <c r="B486" s="61" t="n">
        <v>45931</v>
      </c>
      <c r="C486" s="11" t="inlineStr">
        <is>
          <t>Site 07</t>
        </is>
      </c>
      <c r="D486" s="11" t="inlineStr">
        <is>
          <t>Paediatrics</t>
        </is>
      </c>
      <c r="E486" s="13" t="n">
        <v>92</v>
      </c>
      <c r="F486" s="13" t="n">
        <v>95</v>
      </c>
      <c r="G486" s="13" t="n">
        <v>310</v>
      </c>
      <c r="H486" s="13" t="n">
        <v>341</v>
      </c>
      <c r="I486" s="14" t="n">
        <v>3.26</v>
      </c>
      <c r="J486" s="62" t="n">
        <v>5.6</v>
      </c>
      <c r="K486" s="13" t="n">
        <v>82</v>
      </c>
      <c r="L486" s="13" t="n">
        <v>5</v>
      </c>
    </row>
    <row r="487">
      <c r="A487" s="11" t="inlineStr">
        <is>
          <t>HOSP-0486</t>
        </is>
      </c>
      <c r="B487" s="61" t="n">
        <v>45931</v>
      </c>
      <c r="C487" s="11" t="inlineStr">
        <is>
          <t>Site 08</t>
        </is>
      </c>
      <c r="D487" s="11" t="inlineStr">
        <is>
          <t>Cardiology</t>
        </is>
      </c>
      <c r="E487" s="13" t="n">
        <v>113</v>
      </c>
      <c r="F487" s="13" t="n">
        <v>118</v>
      </c>
      <c r="G487" s="13" t="n">
        <v>607</v>
      </c>
      <c r="H487" s="13" t="n">
        <v>682</v>
      </c>
      <c r="I487" s="14" t="n">
        <v>5.14</v>
      </c>
      <c r="J487" s="62" t="n">
        <v>11</v>
      </c>
      <c r="K487" s="13" t="n">
        <v>111</v>
      </c>
      <c r="L487" s="13" t="n">
        <v>9</v>
      </c>
    </row>
    <row r="488">
      <c r="A488" s="11" t="inlineStr">
        <is>
          <t>HOSP-0487</t>
        </is>
      </c>
      <c r="B488" s="61" t="n">
        <v>45931</v>
      </c>
      <c r="C488" s="11" t="inlineStr">
        <is>
          <t>Site 08</t>
        </is>
      </c>
      <c r="D488" s="11" t="inlineStr">
        <is>
          <t>Orthopaedics</t>
        </is>
      </c>
      <c r="E488" s="13" t="n">
        <v>79</v>
      </c>
      <c r="F488" s="13" t="n">
        <v>75</v>
      </c>
      <c r="G488" s="13" t="n">
        <v>477</v>
      </c>
      <c r="H488" s="13" t="n">
        <v>589</v>
      </c>
      <c r="I488" s="14" t="n">
        <v>6.36</v>
      </c>
      <c r="J488" s="62" t="n">
        <v>13.9</v>
      </c>
      <c r="K488" s="13" t="n">
        <v>67</v>
      </c>
      <c r="L488" s="13" t="n">
        <v>8</v>
      </c>
    </row>
    <row r="489">
      <c r="A489" s="11" t="inlineStr">
        <is>
          <t>HOSP-0488</t>
        </is>
      </c>
      <c r="B489" s="61" t="n">
        <v>45931</v>
      </c>
      <c r="C489" s="11" t="inlineStr">
        <is>
          <t>Site 08</t>
        </is>
      </c>
      <c r="D489" s="11" t="inlineStr">
        <is>
          <t>General Medicine</t>
        </is>
      </c>
      <c r="E489" s="13" t="n">
        <v>160</v>
      </c>
      <c r="F489" s="13" t="n">
        <v>165</v>
      </c>
      <c r="G489" s="13" t="n">
        <v>665</v>
      </c>
      <c r="H489" s="13" t="n">
        <v>744</v>
      </c>
      <c r="I489" s="14" t="n">
        <v>4.03</v>
      </c>
      <c r="J489" s="62" t="n">
        <v>8.199999999999999</v>
      </c>
      <c r="K489" s="13" t="n">
        <v>143</v>
      </c>
      <c r="L489" s="13" t="n">
        <v>7</v>
      </c>
    </row>
    <row r="490">
      <c r="A490" s="11" t="inlineStr">
        <is>
          <t>HOSP-0489</t>
        </is>
      </c>
      <c r="B490" s="61" t="n">
        <v>45931</v>
      </c>
      <c r="C490" s="11" t="inlineStr">
        <is>
          <t>Site 08</t>
        </is>
      </c>
      <c r="D490" s="11" t="inlineStr">
        <is>
          <t>Nephrology</t>
        </is>
      </c>
      <c r="E490" s="13" t="n">
        <v>59</v>
      </c>
      <c r="F490" s="13" t="n">
        <v>55</v>
      </c>
      <c r="G490" s="13" t="n">
        <v>384</v>
      </c>
      <c r="H490" s="13" t="n">
        <v>558</v>
      </c>
      <c r="I490" s="14" t="n">
        <v>6.98</v>
      </c>
      <c r="J490" s="62" t="n">
        <v>12.8</v>
      </c>
      <c r="K490" s="13" t="n">
        <v>50</v>
      </c>
      <c r="L490" s="13" t="n">
        <v>4</v>
      </c>
    </row>
    <row r="491">
      <c r="A491" s="11" t="inlineStr">
        <is>
          <t>HOSP-0490</t>
        </is>
      </c>
      <c r="B491" s="61" t="n">
        <v>45931</v>
      </c>
      <c r="C491" s="11" t="inlineStr">
        <is>
          <t>Site 08</t>
        </is>
      </c>
      <c r="D491" s="11" t="inlineStr">
        <is>
          <t>Paediatrics</t>
        </is>
      </c>
      <c r="E491" s="13" t="n">
        <v>85</v>
      </c>
      <c r="F491" s="13" t="n">
        <v>83</v>
      </c>
      <c r="G491" s="13" t="n">
        <v>255</v>
      </c>
      <c r="H491" s="13" t="n">
        <v>341</v>
      </c>
      <c r="I491" s="14" t="n">
        <v>3.07</v>
      </c>
      <c r="J491" s="62" t="n">
        <v>7.9</v>
      </c>
      <c r="K491" s="13" t="n">
        <v>72</v>
      </c>
      <c r="L491" s="13" t="n">
        <v>3</v>
      </c>
    </row>
    <row r="492">
      <c r="A492" s="11" t="inlineStr">
        <is>
          <t>HOSP-0491</t>
        </is>
      </c>
      <c r="B492" s="61" t="n">
        <v>45931</v>
      </c>
      <c r="C492" s="11" t="inlineStr">
        <is>
          <t>Site 09</t>
        </is>
      </c>
      <c r="D492" s="11" t="inlineStr">
        <is>
          <t>Cardiology</t>
        </is>
      </c>
      <c r="E492" s="13" t="n">
        <v>83</v>
      </c>
      <c r="F492" s="13" t="n">
        <v>87</v>
      </c>
      <c r="G492" s="13" t="n">
        <v>440</v>
      </c>
      <c r="H492" s="13" t="n">
        <v>682</v>
      </c>
      <c r="I492" s="14" t="n">
        <v>5.06</v>
      </c>
      <c r="J492" s="62" t="n">
        <v>10.5</v>
      </c>
      <c r="K492" s="13" t="n">
        <v>77</v>
      </c>
      <c r="L492" s="13" t="n">
        <v>5</v>
      </c>
    </row>
    <row r="493">
      <c r="A493" s="11" t="inlineStr">
        <is>
          <t>HOSP-0492</t>
        </is>
      </c>
      <c r="B493" s="61" t="n">
        <v>45931</v>
      </c>
      <c r="C493" s="11" t="inlineStr">
        <is>
          <t>Site 09</t>
        </is>
      </c>
      <c r="D493" s="11" t="inlineStr">
        <is>
          <t>Orthopaedics</t>
        </is>
      </c>
      <c r="E493" s="13" t="n">
        <v>64</v>
      </c>
      <c r="F493" s="13" t="n">
        <v>69</v>
      </c>
      <c r="G493" s="13" t="n">
        <v>483</v>
      </c>
      <c r="H493" s="13" t="n">
        <v>589</v>
      </c>
      <c r="I493" s="14" t="n">
        <v>7</v>
      </c>
      <c r="J493" s="62" t="n">
        <v>16.3</v>
      </c>
      <c r="K493" s="13" t="n">
        <v>60</v>
      </c>
      <c r="L493" s="13" t="n">
        <v>9</v>
      </c>
    </row>
    <row r="494">
      <c r="A494" s="11" t="inlineStr">
        <is>
          <t>HOSP-0493</t>
        </is>
      </c>
      <c r="B494" s="61" t="n">
        <v>45931</v>
      </c>
      <c r="C494" s="11" t="inlineStr">
        <is>
          <t>Site 09</t>
        </is>
      </c>
      <c r="D494" s="11" t="inlineStr">
        <is>
          <t>General Medicine</t>
        </is>
      </c>
      <c r="E494" s="13" t="n">
        <v>123</v>
      </c>
      <c r="F494" s="13" t="n">
        <v>120</v>
      </c>
      <c r="G494" s="13" t="n">
        <v>509</v>
      </c>
      <c r="H494" s="13" t="n">
        <v>744</v>
      </c>
      <c r="I494" s="14" t="n">
        <v>4.24</v>
      </c>
      <c r="J494" s="62" t="n">
        <v>9.1</v>
      </c>
      <c r="K494" s="13" t="n">
        <v>105</v>
      </c>
      <c r="L494" s="13" t="n">
        <v>6</v>
      </c>
    </row>
    <row r="495">
      <c r="A495" s="11" t="inlineStr">
        <is>
          <t>HOSP-0494</t>
        </is>
      </c>
      <c r="B495" s="61" t="n">
        <v>45931</v>
      </c>
      <c r="C495" s="11" t="inlineStr">
        <is>
          <t>Site 09</t>
        </is>
      </c>
      <c r="D495" s="11" t="inlineStr">
        <is>
          <t>Nephrology</t>
        </is>
      </c>
      <c r="E495" s="13" t="n">
        <v>47</v>
      </c>
      <c r="F495" s="13" t="n">
        <v>44</v>
      </c>
      <c r="G495" s="13" t="n">
        <v>359</v>
      </c>
      <c r="H495" s="13" t="n">
        <v>558</v>
      </c>
      <c r="I495" s="14" t="n">
        <v>8.16</v>
      </c>
      <c r="J495" s="62" t="n">
        <v>13.1</v>
      </c>
      <c r="K495" s="13" t="n">
        <v>38</v>
      </c>
      <c r="L495" s="13" t="n">
        <v>2</v>
      </c>
    </row>
    <row r="496">
      <c r="A496" s="11" t="inlineStr">
        <is>
          <t>HOSP-0495</t>
        </is>
      </c>
      <c r="B496" s="61" t="n">
        <v>45931</v>
      </c>
      <c r="C496" s="11" t="inlineStr">
        <is>
          <t>Site 09</t>
        </is>
      </c>
      <c r="D496" s="11" t="inlineStr">
        <is>
          <t>Paediatrics</t>
        </is>
      </c>
      <c r="E496" s="13" t="n">
        <v>75</v>
      </c>
      <c r="F496" s="13" t="n">
        <v>78</v>
      </c>
      <c r="G496" s="13" t="n">
        <v>224</v>
      </c>
      <c r="H496" s="13" t="n">
        <v>341</v>
      </c>
      <c r="I496" s="14" t="n">
        <v>2.87</v>
      </c>
      <c r="J496" s="62" t="n">
        <v>7</v>
      </c>
      <c r="K496" s="13" t="n">
        <v>69</v>
      </c>
      <c r="L496" s="13" t="n">
        <v>4</v>
      </c>
    </row>
    <row r="497">
      <c r="A497" s="11" t="inlineStr">
        <is>
          <t>HOSP-0496</t>
        </is>
      </c>
      <c r="B497" s="61" t="n">
        <v>45931</v>
      </c>
      <c r="C497" s="11" t="inlineStr">
        <is>
          <t>Site 10</t>
        </is>
      </c>
      <c r="D497" s="11" t="inlineStr">
        <is>
          <t>Cardiology</t>
        </is>
      </c>
      <c r="E497" s="13" t="n">
        <v>108</v>
      </c>
      <c r="F497" s="13" t="n">
        <v>109</v>
      </c>
      <c r="G497" s="13" t="n">
        <v>543</v>
      </c>
      <c r="H497" s="13" t="n">
        <v>682</v>
      </c>
      <c r="I497" s="14" t="n">
        <v>4.98</v>
      </c>
      <c r="J497" s="62" t="n">
        <v>8.5</v>
      </c>
      <c r="K497" s="13" t="n">
        <v>100</v>
      </c>
      <c r="L497" s="13" t="n">
        <v>9</v>
      </c>
    </row>
    <row r="498">
      <c r="A498" s="11" t="inlineStr">
        <is>
          <t>HOSP-0497</t>
        </is>
      </c>
      <c r="B498" s="61" t="n">
        <v>45931</v>
      </c>
      <c r="C498" s="11" t="inlineStr">
        <is>
          <t>Site 10</t>
        </is>
      </c>
      <c r="D498" s="11" t="inlineStr">
        <is>
          <t>Orthopaedics</t>
        </is>
      </c>
      <c r="E498" s="13" t="n">
        <v>70</v>
      </c>
      <c r="F498" s="13" t="n">
        <v>74</v>
      </c>
      <c r="G498" s="13" t="n">
        <v>402</v>
      </c>
      <c r="H498" s="13" t="n">
        <v>589</v>
      </c>
      <c r="I498" s="14" t="n">
        <v>5.43</v>
      </c>
      <c r="J498" s="62" t="n">
        <v>16.9</v>
      </c>
      <c r="K498" s="13" t="n">
        <v>66</v>
      </c>
      <c r="L498" s="13" t="n">
        <v>10</v>
      </c>
    </row>
    <row r="499">
      <c r="A499" s="11" t="inlineStr">
        <is>
          <t>HOSP-0498</t>
        </is>
      </c>
      <c r="B499" s="61" t="n">
        <v>45931</v>
      </c>
      <c r="C499" s="11" t="inlineStr">
        <is>
          <t>Site 10</t>
        </is>
      </c>
      <c r="D499" s="11" t="inlineStr">
        <is>
          <t>General Medicine</t>
        </is>
      </c>
      <c r="E499" s="13" t="n">
        <v>155</v>
      </c>
      <c r="F499" s="13" t="n">
        <v>159</v>
      </c>
      <c r="G499" s="13" t="n">
        <v>658</v>
      </c>
      <c r="H499" s="13" t="n">
        <v>744</v>
      </c>
      <c r="I499" s="14" t="n">
        <v>4.14</v>
      </c>
      <c r="J499" s="62" t="n">
        <v>7.8</v>
      </c>
      <c r="K499" s="13" t="n">
        <v>145</v>
      </c>
      <c r="L499" s="13" t="n">
        <v>8</v>
      </c>
    </row>
    <row r="500">
      <c r="A500" s="11" t="inlineStr">
        <is>
          <t>HOSP-0499</t>
        </is>
      </c>
      <c r="B500" s="61" t="n">
        <v>45931</v>
      </c>
      <c r="C500" s="11" t="inlineStr">
        <is>
          <t>Site 10</t>
        </is>
      </c>
      <c r="D500" s="11" t="inlineStr">
        <is>
          <t>Nephrology</t>
        </is>
      </c>
      <c r="E500" s="13" t="n">
        <v>63</v>
      </c>
      <c r="F500" s="13" t="n">
        <v>64</v>
      </c>
      <c r="G500" s="13" t="n">
        <v>485</v>
      </c>
      <c r="H500" s="13" t="n">
        <v>558</v>
      </c>
      <c r="I500" s="14" t="n">
        <v>7.58</v>
      </c>
      <c r="J500" s="62" t="n">
        <v>13.2</v>
      </c>
      <c r="K500" s="13" t="n">
        <v>57</v>
      </c>
      <c r="L500" s="13" t="n">
        <v>7</v>
      </c>
    </row>
    <row r="501">
      <c r="A501" s="11" t="inlineStr">
        <is>
          <t>HOSP-0500</t>
        </is>
      </c>
      <c r="B501" s="61" t="n">
        <v>45931</v>
      </c>
      <c r="C501" s="11" t="inlineStr">
        <is>
          <t>Site 10</t>
        </is>
      </c>
      <c r="D501" s="11" t="inlineStr">
        <is>
          <t>Paediatrics</t>
        </is>
      </c>
      <c r="E501" s="13" t="n">
        <v>78</v>
      </c>
      <c r="F501" s="13" t="n">
        <v>72</v>
      </c>
      <c r="G501" s="13" t="n">
        <v>230</v>
      </c>
      <c r="H501" s="13" t="n">
        <v>341</v>
      </c>
      <c r="I501" s="14" t="n">
        <v>3.19</v>
      </c>
      <c r="J501" s="62" t="n">
        <v>7.3</v>
      </c>
      <c r="K501" s="13" t="n">
        <v>62</v>
      </c>
      <c r="L501" s="13" t="n">
        <v>3</v>
      </c>
    </row>
    <row r="502">
      <c r="A502" s="11" t="inlineStr">
        <is>
          <t>HOSP-0501</t>
        </is>
      </c>
      <c r="B502" s="61" t="n">
        <v>45962</v>
      </c>
      <c r="C502" s="11" t="inlineStr">
        <is>
          <t>Site 01</t>
        </is>
      </c>
      <c r="D502" s="11" t="inlineStr">
        <is>
          <t>Cardiology</t>
        </is>
      </c>
      <c r="E502" s="13" t="n">
        <v>114</v>
      </c>
      <c r="F502" s="13" t="n">
        <v>116</v>
      </c>
      <c r="G502" s="13" t="n">
        <v>582</v>
      </c>
      <c r="H502" s="13" t="n">
        <v>660</v>
      </c>
      <c r="I502" s="14" t="n">
        <v>5.02</v>
      </c>
      <c r="J502" s="62" t="n">
        <v>9.9</v>
      </c>
      <c r="K502" s="13" t="n">
        <v>103</v>
      </c>
      <c r="L502" s="13" t="n">
        <v>8</v>
      </c>
    </row>
    <row r="503">
      <c r="A503" s="11" t="inlineStr">
        <is>
          <t>HOSP-0502</t>
        </is>
      </c>
      <c r="B503" s="61" t="n">
        <v>45962</v>
      </c>
      <c r="C503" s="11" t="inlineStr">
        <is>
          <t>Site 01</t>
        </is>
      </c>
      <c r="D503" s="11" t="inlineStr">
        <is>
          <t>Orthopaedics</t>
        </is>
      </c>
      <c r="E503" s="13" t="n">
        <v>77</v>
      </c>
      <c r="F503" s="13" t="n">
        <v>75</v>
      </c>
      <c r="G503" s="13" t="n">
        <v>443</v>
      </c>
      <c r="H503" s="13" t="n">
        <v>570</v>
      </c>
      <c r="I503" s="14" t="n">
        <v>5.91</v>
      </c>
      <c r="J503" s="62" t="n">
        <v>15.8</v>
      </c>
      <c r="K503" s="13" t="n">
        <v>69</v>
      </c>
      <c r="L503" s="13" t="n">
        <v>8</v>
      </c>
    </row>
    <row r="504">
      <c r="A504" s="11" t="inlineStr">
        <is>
          <t>HOSP-0503</t>
        </is>
      </c>
      <c r="B504" s="61" t="n">
        <v>45962</v>
      </c>
      <c r="C504" s="11" t="inlineStr">
        <is>
          <t>Site 01</t>
        </is>
      </c>
      <c r="D504" s="11" t="inlineStr">
        <is>
          <t>General Medicine</t>
        </is>
      </c>
      <c r="E504" s="13" t="n">
        <v>169</v>
      </c>
      <c r="F504" s="13" t="n">
        <v>171</v>
      </c>
      <c r="G504" s="13" t="n">
        <v>708</v>
      </c>
      <c r="H504" s="13" t="n">
        <v>720</v>
      </c>
      <c r="I504" s="14" t="n">
        <v>4.14</v>
      </c>
      <c r="J504" s="62" t="n">
        <v>7.4</v>
      </c>
      <c r="K504" s="13" t="n">
        <v>153</v>
      </c>
      <c r="L504" s="13" t="n">
        <v>11</v>
      </c>
    </row>
    <row r="505">
      <c r="A505" s="11" t="inlineStr">
        <is>
          <t>HOSP-0504</t>
        </is>
      </c>
      <c r="B505" s="61" t="n">
        <v>45962</v>
      </c>
      <c r="C505" s="11" t="inlineStr">
        <is>
          <t>Site 01</t>
        </is>
      </c>
      <c r="D505" s="11" t="inlineStr">
        <is>
          <t>Nephrology</t>
        </is>
      </c>
      <c r="E505" s="13" t="n">
        <v>63</v>
      </c>
      <c r="F505" s="13" t="n">
        <v>63</v>
      </c>
      <c r="G505" s="13" t="n">
        <v>462</v>
      </c>
      <c r="H505" s="13" t="n">
        <v>540</v>
      </c>
      <c r="I505" s="14" t="n">
        <v>7.33</v>
      </c>
      <c r="J505" s="62" t="n">
        <v>11.2</v>
      </c>
      <c r="K505" s="13" t="n">
        <v>54</v>
      </c>
      <c r="L505" s="13" t="n">
        <v>6</v>
      </c>
    </row>
    <row r="506">
      <c r="A506" s="11" t="inlineStr">
        <is>
          <t>HOSP-0505</t>
        </is>
      </c>
      <c r="B506" s="61" t="n">
        <v>45962</v>
      </c>
      <c r="C506" s="11" t="inlineStr">
        <is>
          <t>Site 01</t>
        </is>
      </c>
      <c r="D506" s="11" t="inlineStr">
        <is>
          <t>Paediatrics</t>
        </is>
      </c>
      <c r="E506" s="13" t="n">
        <v>80</v>
      </c>
      <c r="F506" s="13" t="n">
        <v>74</v>
      </c>
      <c r="G506" s="13" t="n">
        <v>210</v>
      </c>
      <c r="H506" s="13" t="n">
        <v>330</v>
      </c>
      <c r="I506" s="14" t="n">
        <v>2.84</v>
      </c>
      <c r="J506" s="62" t="n">
        <v>6</v>
      </c>
      <c r="K506" s="13" t="n">
        <v>65</v>
      </c>
      <c r="L506" s="13" t="n">
        <v>3</v>
      </c>
    </row>
    <row r="507">
      <c r="A507" s="11" t="inlineStr">
        <is>
          <t>HOSP-0506</t>
        </is>
      </c>
      <c r="B507" s="61" t="n">
        <v>45962</v>
      </c>
      <c r="C507" s="11" t="inlineStr">
        <is>
          <t>Site 02</t>
        </is>
      </c>
      <c r="D507" s="11" t="inlineStr">
        <is>
          <t>Cardiology</t>
        </is>
      </c>
      <c r="E507" s="13" t="n">
        <v>99</v>
      </c>
      <c r="F507" s="13" t="n">
        <v>93</v>
      </c>
      <c r="G507" s="13" t="n">
        <v>484</v>
      </c>
      <c r="H507" s="13" t="n">
        <v>660</v>
      </c>
      <c r="I507" s="14" t="n">
        <v>5.2</v>
      </c>
      <c r="J507" s="62" t="n">
        <v>9.800000000000001</v>
      </c>
      <c r="K507" s="13" t="n">
        <v>81</v>
      </c>
      <c r="L507" s="13" t="n">
        <v>7</v>
      </c>
    </row>
    <row r="508">
      <c r="A508" s="11" t="inlineStr">
        <is>
          <t>HOSP-0507</t>
        </is>
      </c>
      <c r="B508" s="61" t="n">
        <v>45962</v>
      </c>
      <c r="C508" s="11" t="inlineStr">
        <is>
          <t>Site 02</t>
        </is>
      </c>
      <c r="D508" s="11" t="inlineStr">
        <is>
          <t>Orthopaedics</t>
        </is>
      </c>
      <c r="E508" s="13" t="n">
        <v>78</v>
      </c>
      <c r="F508" s="13" t="n">
        <v>78</v>
      </c>
      <c r="G508" s="13" t="n">
        <v>432</v>
      </c>
      <c r="H508" s="13" t="n">
        <v>570</v>
      </c>
      <c r="I508" s="14" t="n">
        <v>5.54</v>
      </c>
      <c r="J508" s="62" t="n">
        <v>14.5</v>
      </c>
      <c r="K508" s="13" t="n">
        <v>73</v>
      </c>
      <c r="L508" s="13" t="n">
        <v>8</v>
      </c>
    </row>
    <row r="509">
      <c r="A509" s="11" t="inlineStr">
        <is>
          <t>HOSP-0508</t>
        </is>
      </c>
      <c r="B509" s="61" t="n">
        <v>45962</v>
      </c>
      <c r="C509" s="11" t="inlineStr">
        <is>
          <t>Site 02</t>
        </is>
      </c>
      <c r="D509" s="11" t="inlineStr">
        <is>
          <t>General Medicine</t>
        </is>
      </c>
      <c r="E509" s="13" t="n">
        <v>147</v>
      </c>
      <c r="F509" s="13" t="n">
        <v>148</v>
      </c>
      <c r="G509" s="13" t="n">
        <v>588</v>
      </c>
      <c r="H509" s="13" t="n">
        <v>720</v>
      </c>
      <c r="I509" s="14" t="n">
        <v>3.97</v>
      </c>
      <c r="J509" s="62" t="n">
        <v>9.800000000000001</v>
      </c>
      <c r="K509" s="13" t="n">
        <v>135</v>
      </c>
      <c r="L509" s="13" t="n">
        <v>6</v>
      </c>
    </row>
    <row r="510">
      <c r="A510" s="11" t="inlineStr">
        <is>
          <t>HOSP-0509</t>
        </is>
      </c>
      <c r="B510" s="61" t="n">
        <v>45962</v>
      </c>
      <c r="C510" s="11" t="inlineStr">
        <is>
          <t>Site 02</t>
        </is>
      </c>
      <c r="D510" s="11" t="inlineStr">
        <is>
          <t>Nephrology</t>
        </is>
      </c>
      <c r="E510" s="13" t="n">
        <v>63</v>
      </c>
      <c r="F510" s="13" t="n">
        <v>66</v>
      </c>
      <c r="G510" s="13" t="n">
        <v>513</v>
      </c>
      <c r="H510" s="13" t="n">
        <v>540</v>
      </c>
      <c r="I510" s="14" t="n">
        <v>7.77</v>
      </c>
      <c r="J510" s="62" t="n">
        <v>11</v>
      </c>
      <c r="K510" s="13" t="n">
        <v>59</v>
      </c>
      <c r="L510" s="13" t="n">
        <v>5</v>
      </c>
    </row>
    <row r="511">
      <c r="A511" s="11" t="inlineStr">
        <is>
          <t>HOSP-0510</t>
        </is>
      </c>
      <c r="B511" s="61" t="n">
        <v>45962</v>
      </c>
      <c r="C511" s="11" t="inlineStr">
        <is>
          <t>Site 02</t>
        </is>
      </c>
      <c r="D511" s="11" t="inlineStr">
        <is>
          <t>Paediatrics</t>
        </is>
      </c>
      <c r="E511" s="13" t="n">
        <v>87</v>
      </c>
      <c r="F511" s="13" t="n">
        <v>82</v>
      </c>
      <c r="G511" s="13" t="n">
        <v>258</v>
      </c>
      <c r="H511" s="13" t="n">
        <v>330</v>
      </c>
      <c r="I511" s="14" t="n">
        <v>3.15</v>
      </c>
      <c r="J511" s="62" t="n">
        <v>7.4</v>
      </c>
      <c r="K511" s="13" t="n">
        <v>73</v>
      </c>
      <c r="L511" s="13" t="n">
        <v>4</v>
      </c>
    </row>
    <row r="512">
      <c r="A512" s="11" t="inlineStr">
        <is>
          <t>HOSP-0511</t>
        </is>
      </c>
      <c r="B512" s="61" t="n">
        <v>45962</v>
      </c>
      <c r="C512" s="11" t="inlineStr">
        <is>
          <t>Site 03</t>
        </is>
      </c>
      <c r="D512" s="11" t="inlineStr">
        <is>
          <t>Cardiology</t>
        </is>
      </c>
      <c r="E512" s="13" t="n">
        <v>125</v>
      </c>
      <c r="F512" s="13" t="n">
        <v>126</v>
      </c>
      <c r="G512" s="13" t="n">
        <v>639</v>
      </c>
      <c r="H512" s="13" t="n">
        <v>660</v>
      </c>
      <c r="I512" s="14" t="n">
        <v>5.07</v>
      </c>
      <c r="J512" s="62" t="n">
        <v>9.199999999999999</v>
      </c>
      <c r="K512" s="13" t="n">
        <v>110</v>
      </c>
      <c r="L512" s="13" t="n">
        <v>8</v>
      </c>
    </row>
    <row r="513">
      <c r="A513" s="11" t="inlineStr">
        <is>
          <t>HOSP-0512</t>
        </is>
      </c>
      <c r="B513" s="61" t="n">
        <v>45962</v>
      </c>
      <c r="C513" s="11" t="inlineStr">
        <is>
          <t>Site 03</t>
        </is>
      </c>
      <c r="D513" s="11" t="inlineStr">
        <is>
          <t>Orthopaedics</t>
        </is>
      </c>
      <c r="E513" s="13" t="n">
        <v>88</v>
      </c>
      <c r="F513" s="13" t="n">
        <v>82</v>
      </c>
      <c r="G513" s="13" t="n">
        <v>529</v>
      </c>
      <c r="H513" s="13" t="n">
        <v>570</v>
      </c>
      <c r="I513" s="14" t="n">
        <v>6.45</v>
      </c>
      <c r="J513" s="62" t="n">
        <v>13.7</v>
      </c>
      <c r="K513" s="13" t="n">
        <v>72</v>
      </c>
      <c r="L513" s="13" t="n">
        <v>11</v>
      </c>
    </row>
    <row r="514">
      <c r="A514" s="11" t="inlineStr">
        <is>
          <t>HOSP-0513</t>
        </is>
      </c>
      <c r="B514" s="61" t="n">
        <v>45962</v>
      </c>
      <c r="C514" s="11" t="inlineStr">
        <is>
          <t>Site 03</t>
        </is>
      </c>
      <c r="D514" s="11" t="inlineStr">
        <is>
          <t>General Medicine</t>
        </is>
      </c>
      <c r="E514" s="13" t="n">
        <v>169</v>
      </c>
      <c r="F514" s="13" t="n">
        <v>166</v>
      </c>
      <c r="G514" s="13" t="n">
        <v>677</v>
      </c>
      <c r="H514" s="13" t="n">
        <v>720</v>
      </c>
      <c r="I514" s="14" t="n">
        <v>4.08</v>
      </c>
      <c r="J514" s="62" t="n">
        <v>8.1</v>
      </c>
      <c r="K514" s="13" t="n">
        <v>152</v>
      </c>
      <c r="L514" s="13" t="n">
        <v>8</v>
      </c>
    </row>
    <row r="515">
      <c r="A515" s="11" t="inlineStr">
        <is>
          <t>HOSP-0514</t>
        </is>
      </c>
      <c r="B515" s="61" t="n">
        <v>45962</v>
      </c>
      <c r="C515" s="11" t="inlineStr">
        <is>
          <t>Site 03</t>
        </is>
      </c>
      <c r="D515" s="11" t="inlineStr">
        <is>
          <t>Nephrology</t>
        </is>
      </c>
      <c r="E515" s="13" t="n">
        <v>55</v>
      </c>
      <c r="F515" s="13" t="n">
        <v>58</v>
      </c>
      <c r="G515" s="13" t="n">
        <v>470</v>
      </c>
      <c r="H515" s="13" t="n">
        <v>540</v>
      </c>
      <c r="I515" s="14" t="n">
        <v>8.1</v>
      </c>
      <c r="J515" s="62" t="n">
        <v>11.3</v>
      </c>
      <c r="K515" s="13" t="n">
        <v>52</v>
      </c>
      <c r="L515" s="13" t="n">
        <v>4</v>
      </c>
    </row>
    <row r="516">
      <c r="A516" s="11" t="inlineStr">
        <is>
          <t>HOSP-0515</t>
        </is>
      </c>
      <c r="B516" s="61" t="n">
        <v>45962</v>
      </c>
      <c r="C516" s="11" t="inlineStr">
        <is>
          <t>Site 03</t>
        </is>
      </c>
      <c r="D516" s="11" t="inlineStr">
        <is>
          <t>Paediatrics</t>
        </is>
      </c>
      <c r="E516" s="13" t="n">
        <v>86</v>
      </c>
      <c r="F516" s="13" t="n">
        <v>87</v>
      </c>
      <c r="G516" s="13" t="n">
        <v>294</v>
      </c>
      <c r="H516" s="13" t="n">
        <v>330</v>
      </c>
      <c r="I516" s="14" t="n">
        <v>3.38</v>
      </c>
      <c r="J516" s="62" t="n">
        <v>6.6</v>
      </c>
      <c r="K516" s="13" t="n">
        <v>79</v>
      </c>
      <c r="L516" s="13" t="n">
        <v>3</v>
      </c>
    </row>
    <row r="517">
      <c r="A517" s="11" t="inlineStr">
        <is>
          <t>HOSP-0516</t>
        </is>
      </c>
      <c r="B517" s="61" t="n">
        <v>45962</v>
      </c>
      <c r="C517" s="11" t="inlineStr">
        <is>
          <t>Site 04</t>
        </is>
      </c>
      <c r="D517" s="11" t="inlineStr">
        <is>
          <t>Cardiology</t>
        </is>
      </c>
      <c r="E517" s="13" t="n">
        <v>106</v>
      </c>
      <c r="F517" s="13" t="n">
        <v>102</v>
      </c>
      <c r="G517" s="13" t="n">
        <v>496</v>
      </c>
      <c r="H517" s="13" t="n">
        <v>660</v>
      </c>
      <c r="I517" s="14" t="n">
        <v>4.86</v>
      </c>
      <c r="J517" s="62" t="n">
        <v>8.1</v>
      </c>
      <c r="K517" s="13" t="n">
        <v>88</v>
      </c>
      <c r="L517" s="13" t="n">
        <v>4</v>
      </c>
    </row>
    <row r="518">
      <c r="A518" s="11" t="inlineStr">
        <is>
          <t>HOSP-0517</t>
        </is>
      </c>
      <c r="B518" s="61" t="n">
        <v>45962</v>
      </c>
      <c r="C518" s="11" t="inlineStr">
        <is>
          <t>Site 04</t>
        </is>
      </c>
      <c r="D518" s="11" t="inlineStr">
        <is>
          <t>Orthopaedics</t>
        </is>
      </c>
      <c r="E518" s="13" t="n">
        <v>72</v>
      </c>
      <c r="F518" s="13" t="n">
        <v>67</v>
      </c>
      <c r="G518" s="13" t="n">
        <v>388</v>
      </c>
      <c r="H518" s="13" t="n">
        <v>570</v>
      </c>
      <c r="I518" s="14" t="n">
        <v>5.79</v>
      </c>
      <c r="J518" s="62" t="n">
        <v>14.7</v>
      </c>
      <c r="K518" s="13" t="n">
        <v>60</v>
      </c>
      <c r="L518" s="13" t="n">
        <v>9</v>
      </c>
    </row>
    <row r="519">
      <c r="A519" s="11" t="inlineStr">
        <is>
          <t>HOSP-0518</t>
        </is>
      </c>
      <c r="B519" s="61" t="n">
        <v>45962</v>
      </c>
      <c r="C519" s="11" t="inlineStr">
        <is>
          <t>Site 04</t>
        </is>
      </c>
      <c r="D519" s="11" t="inlineStr">
        <is>
          <t>General Medicine</t>
        </is>
      </c>
      <c r="E519" s="13" t="n">
        <v>167</v>
      </c>
      <c r="F519" s="13" t="n">
        <v>171</v>
      </c>
      <c r="G519" s="13" t="n">
        <v>708</v>
      </c>
      <c r="H519" s="13" t="n">
        <v>720</v>
      </c>
      <c r="I519" s="14" t="n">
        <v>4.14</v>
      </c>
      <c r="J519" s="62" t="n">
        <v>8.300000000000001</v>
      </c>
      <c r="K519" s="13" t="n">
        <v>158</v>
      </c>
      <c r="L519" s="13" t="n">
        <v>10</v>
      </c>
    </row>
    <row r="520">
      <c r="A520" s="11" t="inlineStr">
        <is>
          <t>HOSP-0519</t>
        </is>
      </c>
      <c r="B520" s="61" t="n">
        <v>45962</v>
      </c>
      <c r="C520" s="11" t="inlineStr">
        <is>
          <t>Site 04</t>
        </is>
      </c>
      <c r="D520" s="11" t="inlineStr">
        <is>
          <t>Nephrology</t>
        </is>
      </c>
      <c r="E520" s="13" t="n">
        <v>57</v>
      </c>
      <c r="F520" s="13" t="n">
        <v>61</v>
      </c>
      <c r="G520" s="13" t="n">
        <v>452</v>
      </c>
      <c r="H520" s="13" t="n">
        <v>540</v>
      </c>
      <c r="I520" s="14" t="n">
        <v>7.41</v>
      </c>
      <c r="J520" s="62" t="n">
        <v>13.1</v>
      </c>
      <c r="K520" s="13" t="n">
        <v>53</v>
      </c>
      <c r="L520" s="13" t="n">
        <v>4</v>
      </c>
    </row>
    <row r="521">
      <c r="A521" s="11" t="inlineStr">
        <is>
          <t>HOSP-0520</t>
        </is>
      </c>
      <c r="B521" s="61" t="n">
        <v>45962</v>
      </c>
      <c r="C521" s="11" t="inlineStr">
        <is>
          <t>Site 04</t>
        </is>
      </c>
      <c r="D521" s="11" t="inlineStr">
        <is>
          <t>Paediatrics</t>
        </is>
      </c>
      <c r="E521" s="13" t="n">
        <v>86</v>
      </c>
      <c r="F521" s="13" t="n">
        <v>86</v>
      </c>
      <c r="G521" s="13" t="n">
        <v>247</v>
      </c>
      <c r="H521" s="13" t="n">
        <v>330</v>
      </c>
      <c r="I521" s="14" t="n">
        <v>2.87</v>
      </c>
      <c r="J521" s="62" t="n">
        <v>7.3</v>
      </c>
      <c r="K521" s="13" t="n">
        <v>76</v>
      </c>
      <c r="L521" s="13" t="n">
        <v>3</v>
      </c>
    </row>
    <row r="522">
      <c r="A522" s="11" t="inlineStr">
        <is>
          <t>HOSP-0521</t>
        </is>
      </c>
      <c r="B522" s="61" t="n">
        <v>45962</v>
      </c>
      <c r="C522" s="11" t="inlineStr">
        <is>
          <t>Site 05</t>
        </is>
      </c>
      <c r="D522" s="11" t="inlineStr">
        <is>
          <t>Cardiology</t>
        </is>
      </c>
      <c r="E522" s="13" t="n">
        <v>97</v>
      </c>
      <c r="F522" s="13" t="n">
        <v>101</v>
      </c>
      <c r="G522" s="13" t="n">
        <v>481</v>
      </c>
      <c r="H522" s="13" t="n">
        <v>660</v>
      </c>
      <c r="I522" s="14" t="n">
        <v>4.76</v>
      </c>
      <c r="J522" s="62" t="n">
        <v>11.8</v>
      </c>
      <c r="K522" s="13" t="n">
        <v>91</v>
      </c>
      <c r="L522" s="13" t="n">
        <v>7</v>
      </c>
    </row>
    <row r="523">
      <c r="A523" s="11" t="inlineStr">
        <is>
          <t>HOSP-0522</t>
        </is>
      </c>
      <c r="B523" s="61" t="n">
        <v>45962</v>
      </c>
      <c r="C523" s="11" t="inlineStr">
        <is>
          <t>Site 05</t>
        </is>
      </c>
      <c r="D523" s="11" t="inlineStr">
        <is>
          <t>Orthopaedics</t>
        </is>
      </c>
      <c r="E523" s="13" t="n">
        <v>66</v>
      </c>
      <c r="F523" s="13" t="n">
        <v>63</v>
      </c>
      <c r="G523" s="13" t="n">
        <v>411</v>
      </c>
      <c r="H523" s="13" t="n">
        <v>570</v>
      </c>
      <c r="I523" s="14" t="n">
        <v>6.52</v>
      </c>
      <c r="J523" s="62" t="n">
        <v>14</v>
      </c>
      <c r="K523" s="13" t="n">
        <v>58</v>
      </c>
      <c r="L523" s="13" t="n">
        <v>8</v>
      </c>
    </row>
    <row r="524">
      <c r="A524" s="11" t="inlineStr">
        <is>
          <t>HOSP-0523</t>
        </is>
      </c>
      <c r="B524" s="61" t="n">
        <v>45962</v>
      </c>
      <c r="C524" s="11" t="inlineStr">
        <is>
          <t>Site 05</t>
        </is>
      </c>
      <c r="D524" s="11" t="inlineStr">
        <is>
          <t>General Medicine</t>
        </is>
      </c>
      <c r="E524" s="13" t="n">
        <v>127</v>
      </c>
      <c r="F524" s="13" t="n">
        <v>123</v>
      </c>
      <c r="G524" s="13" t="n">
        <v>492</v>
      </c>
      <c r="H524" s="13" t="n">
        <v>720</v>
      </c>
      <c r="I524" s="14" t="n">
        <v>4</v>
      </c>
      <c r="J524" s="62" t="n">
        <v>5.9</v>
      </c>
      <c r="K524" s="13" t="n">
        <v>109</v>
      </c>
      <c r="L524" s="13" t="n">
        <v>9</v>
      </c>
    </row>
    <row r="525">
      <c r="A525" s="11" t="inlineStr">
        <is>
          <t>HOSP-0524</t>
        </is>
      </c>
      <c r="B525" s="61" t="n">
        <v>45962</v>
      </c>
      <c r="C525" s="11" t="inlineStr">
        <is>
          <t>Site 05</t>
        </is>
      </c>
      <c r="D525" s="11" t="inlineStr">
        <is>
          <t>Nephrology</t>
        </is>
      </c>
      <c r="E525" s="13" t="n">
        <v>54</v>
      </c>
      <c r="F525" s="13" t="n">
        <v>57</v>
      </c>
      <c r="G525" s="13" t="n">
        <v>484</v>
      </c>
      <c r="H525" s="13" t="n">
        <v>540</v>
      </c>
      <c r="I525" s="14" t="n">
        <v>8.49</v>
      </c>
      <c r="J525" s="62" t="n">
        <v>11</v>
      </c>
      <c r="K525" s="13" t="n">
        <v>49</v>
      </c>
      <c r="L525" s="13" t="n">
        <v>4</v>
      </c>
    </row>
    <row r="526">
      <c r="A526" s="11" t="inlineStr">
        <is>
          <t>HOSP-0525</t>
        </is>
      </c>
      <c r="B526" s="61" t="n">
        <v>45962</v>
      </c>
      <c r="C526" s="11" t="inlineStr">
        <is>
          <t>Site 05</t>
        </is>
      </c>
      <c r="D526" s="11" t="inlineStr">
        <is>
          <t>Paediatrics</t>
        </is>
      </c>
      <c r="E526" s="13" t="n">
        <v>76</v>
      </c>
      <c r="F526" s="13" t="n">
        <v>72</v>
      </c>
      <c r="G526" s="13" t="n">
        <v>215</v>
      </c>
      <c r="H526" s="13" t="n">
        <v>330</v>
      </c>
      <c r="I526" s="14" t="n">
        <v>2.99</v>
      </c>
      <c r="J526" s="62" t="n">
        <v>6</v>
      </c>
      <c r="K526" s="13" t="n">
        <v>64</v>
      </c>
      <c r="L526" s="13" t="n">
        <v>4</v>
      </c>
    </row>
    <row r="527">
      <c r="A527" s="11" t="inlineStr">
        <is>
          <t>HOSP-0526</t>
        </is>
      </c>
      <c r="B527" s="61" t="n">
        <v>45962</v>
      </c>
      <c r="C527" s="11" t="inlineStr">
        <is>
          <t>Site 06</t>
        </is>
      </c>
      <c r="D527" s="11" t="inlineStr">
        <is>
          <t>Cardiology</t>
        </is>
      </c>
      <c r="E527" s="13" t="n">
        <v>122</v>
      </c>
      <c r="F527" s="13" t="n">
        <v>123</v>
      </c>
      <c r="G527" s="13" t="n">
        <v>588</v>
      </c>
      <c r="H527" s="13" t="n">
        <v>660</v>
      </c>
      <c r="I527" s="14" t="n">
        <v>4.78</v>
      </c>
      <c r="J527" s="62" t="n">
        <v>10.1</v>
      </c>
      <c r="K527" s="13" t="n">
        <v>108</v>
      </c>
      <c r="L527" s="13" t="n">
        <v>10</v>
      </c>
    </row>
    <row r="528">
      <c r="A528" s="11" t="inlineStr">
        <is>
          <t>HOSP-0527</t>
        </is>
      </c>
      <c r="B528" s="61" t="n">
        <v>45962</v>
      </c>
      <c r="C528" s="11" t="inlineStr">
        <is>
          <t>Site 06</t>
        </is>
      </c>
      <c r="D528" s="11" t="inlineStr">
        <is>
          <t>Orthopaedics</t>
        </is>
      </c>
      <c r="E528" s="13" t="n">
        <v>93</v>
      </c>
      <c r="F528" s="13" t="n">
        <v>95</v>
      </c>
      <c r="G528" s="13" t="n">
        <v>553</v>
      </c>
      <c r="H528" s="13" t="n">
        <v>570</v>
      </c>
      <c r="I528" s="14" t="n">
        <v>5.82</v>
      </c>
      <c r="J528" s="62" t="n">
        <v>9.4</v>
      </c>
      <c r="K528" s="13" t="n">
        <v>87</v>
      </c>
      <c r="L528" s="13" t="n">
        <v>13</v>
      </c>
    </row>
    <row r="529">
      <c r="A529" s="11" t="inlineStr">
        <is>
          <t>HOSP-0528</t>
        </is>
      </c>
      <c r="B529" s="61" t="n">
        <v>45962</v>
      </c>
      <c r="C529" s="11" t="inlineStr">
        <is>
          <t>Site 06</t>
        </is>
      </c>
      <c r="D529" s="11" t="inlineStr">
        <is>
          <t>General Medicine</t>
        </is>
      </c>
      <c r="E529" s="13" t="n">
        <v>167</v>
      </c>
      <c r="F529" s="13" t="n">
        <v>171</v>
      </c>
      <c r="G529" s="13" t="n">
        <v>653</v>
      </c>
      <c r="H529" s="13" t="n">
        <v>720</v>
      </c>
      <c r="I529" s="14" t="n">
        <v>3.82</v>
      </c>
      <c r="J529" s="62" t="n">
        <v>9.6</v>
      </c>
      <c r="K529" s="13" t="n">
        <v>148</v>
      </c>
      <c r="L529" s="13" t="n">
        <v>9</v>
      </c>
    </row>
    <row r="530">
      <c r="A530" s="11" t="inlineStr">
        <is>
          <t>HOSP-0529</t>
        </is>
      </c>
      <c r="B530" s="61" t="n">
        <v>45962</v>
      </c>
      <c r="C530" s="11" t="inlineStr">
        <is>
          <t>Site 06</t>
        </is>
      </c>
      <c r="D530" s="11" t="inlineStr">
        <is>
          <t>Nephrology</t>
        </is>
      </c>
      <c r="E530" s="13" t="n">
        <v>62</v>
      </c>
      <c r="F530" s="13" t="n">
        <v>60</v>
      </c>
      <c r="G530" s="13" t="n">
        <v>474</v>
      </c>
      <c r="H530" s="13" t="n">
        <v>540</v>
      </c>
      <c r="I530" s="14" t="n">
        <v>7.9</v>
      </c>
      <c r="J530" s="62" t="n">
        <v>14.9</v>
      </c>
      <c r="K530" s="13" t="n">
        <v>53</v>
      </c>
      <c r="L530" s="13" t="n">
        <v>5</v>
      </c>
    </row>
    <row r="531">
      <c r="A531" s="11" t="inlineStr">
        <is>
          <t>HOSP-0530</t>
        </is>
      </c>
      <c r="B531" s="61" t="n">
        <v>45962</v>
      </c>
      <c r="C531" s="11" t="inlineStr">
        <is>
          <t>Site 06</t>
        </is>
      </c>
      <c r="D531" s="11" t="inlineStr">
        <is>
          <t>Paediatrics</t>
        </is>
      </c>
      <c r="E531" s="13" t="n">
        <v>105</v>
      </c>
      <c r="F531" s="13" t="n">
        <v>110</v>
      </c>
      <c r="G531" s="13" t="n">
        <v>317</v>
      </c>
      <c r="H531" s="13" t="n">
        <v>330</v>
      </c>
      <c r="I531" s="14" t="n">
        <v>2.88</v>
      </c>
      <c r="J531" s="62" t="n">
        <v>7.1</v>
      </c>
      <c r="K531" s="13" t="n">
        <v>97</v>
      </c>
      <c r="L531" s="13" t="n">
        <v>5</v>
      </c>
    </row>
    <row r="532">
      <c r="A532" s="11" t="inlineStr">
        <is>
          <t>HOSP-0531</t>
        </is>
      </c>
      <c r="B532" s="61" t="n">
        <v>45962</v>
      </c>
      <c r="C532" s="11" t="inlineStr">
        <is>
          <t>Site 07</t>
        </is>
      </c>
      <c r="D532" s="11" t="inlineStr">
        <is>
          <t>Cardiology</t>
        </is>
      </c>
      <c r="E532" s="13" t="n">
        <v>93</v>
      </c>
      <c r="F532" s="13" t="n">
        <v>94</v>
      </c>
      <c r="G532" s="13" t="n">
        <v>459</v>
      </c>
      <c r="H532" s="13" t="n">
        <v>660</v>
      </c>
      <c r="I532" s="14" t="n">
        <v>4.88</v>
      </c>
      <c r="J532" s="62" t="n">
        <v>11.2</v>
      </c>
      <c r="K532" s="13" t="n">
        <v>82</v>
      </c>
      <c r="L532" s="13" t="n">
        <v>7</v>
      </c>
    </row>
    <row r="533">
      <c r="A533" s="11" t="inlineStr">
        <is>
          <t>HOSP-0532</t>
        </is>
      </c>
      <c r="B533" s="61" t="n">
        <v>45962</v>
      </c>
      <c r="C533" s="11" t="inlineStr">
        <is>
          <t>Site 07</t>
        </is>
      </c>
      <c r="D533" s="11" t="inlineStr">
        <is>
          <t>Orthopaedics</t>
        </is>
      </c>
      <c r="E533" s="13" t="n">
        <v>92</v>
      </c>
      <c r="F533" s="13" t="n">
        <v>92</v>
      </c>
      <c r="G533" s="13" t="n">
        <v>518</v>
      </c>
      <c r="H533" s="13" t="n">
        <v>570</v>
      </c>
      <c r="I533" s="14" t="n">
        <v>5.63</v>
      </c>
      <c r="J533" s="62" t="n">
        <v>14</v>
      </c>
      <c r="K533" s="13" t="n">
        <v>85</v>
      </c>
      <c r="L533" s="13" t="n">
        <v>10</v>
      </c>
    </row>
    <row r="534">
      <c r="A534" s="11" t="inlineStr">
        <is>
          <t>HOSP-0533</t>
        </is>
      </c>
      <c r="B534" s="61" t="n">
        <v>45962</v>
      </c>
      <c r="C534" s="11" t="inlineStr">
        <is>
          <t>Site 07</t>
        </is>
      </c>
      <c r="D534" s="11" t="inlineStr">
        <is>
          <t>General Medicine</t>
        </is>
      </c>
      <c r="E534" s="13" t="n">
        <v>162</v>
      </c>
      <c r="F534" s="13" t="n">
        <v>160</v>
      </c>
      <c r="G534" s="13" t="n">
        <v>694</v>
      </c>
      <c r="H534" s="13" t="n">
        <v>720</v>
      </c>
      <c r="I534" s="14" t="n">
        <v>4.34</v>
      </c>
      <c r="J534" s="62" t="n">
        <v>7.3</v>
      </c>
      <c r="K534" s="13" t="n">
        <v>146</v>
      </c>
      <c r="L534" s="13" t="n">
        <v>9</v>
      </c>
    </row>
    <row r="535">
      <c r="A535" s="11" t="inlineStr">
        <is>
          <t>HOSP-0534</t>
        </is>
      </c>
      <c r="B535" s="61" t="n">
        <v>45962</v>
      </c>
      <c r="C535" s="11" t="inlineStr">
        <is>
          <t>Site 07</t>
        </is>
      </c>
      <c r="D535" s="11" t="inlineStr">
        <is>
          <t>Nephrology</t>
        </is>
      </c>
      <c r="E535" s="13" t="n">
        <v>64</v>
      </c>
      <c r="F535" s="13" t="n">
        <v>60</v>
      </c>
      <c r="G535" s="13" t="n">
        <v>467</v>
      </c>
      <c r="H535" s="13" t="n">
        <v>540</v>
      </c>
      <c r="I535" s="14" t="n">
        <v>7.78</v>
      </c>
      <c r="J535" s="62" t="n">
        <v>12.5</v>
      </c>
      <c r="K535" s="13" t="n">
        <v>56</v>
      </c>
      <c r="L535" s="13" t="n">
        <v>5</v>
      </c>
    </row>
    <row r="536">
      <c r="A536" s="11" t="inlineStr">
        <is>
          <t>HOSP-0535</t>
        </is>
      </c>
      <c r="B536" s="61" t="n">
        <v>45962</v>
      </c>
      <c r="C536" s="11" t="inlineStr">
        <is>
          <t>Site 07</t>
        </is>
      </c>
      <c r="D536" s="11" t="inlineStr">
        <is>
          <t>Paediatrics</t>
        </is>
      </c>
      <c r="E536" s="13" t="n">
        <v>94</v>
      </c>
      <c r="F536" s="13" t="n">
        <v>93</v>
      </c>
      <c r="G536" s="13" t="n">
        <v>265</v>
      </c>
      <c r="H536" s="13" t="n">
        <v>330</v>
      </c>
      <c r="I536" s="14" t="n">
        <v>2.85</v>
      </c>
      <c r="J536" s="62" t="n">
        <v>5.9</v>
      </c>
      <c r="K536" s="13" t="n">
        <v>85</v>
      </c>
      <c r="L536" s="13" t="n">
        <v>4</v>
      </c>
    </row>
    <row r="537">
      <c r="A537" s="11" t="inlineStr">
        <is>
          <t>HOSP-0536</t>
        </is>
      </c>
      <c r="B537" s="61" t="n">
        <v>45962</v>
      </c>
      <c r="C537" s="11" t="inlineStr">
        <is>
          <t>Site 08</t>
        </is>
      </c>
      <c r="D537" s="11" t="inlineStr">
        <is>
          <t>Cardiology</t>
        </is>
      </c>
      <c r="E537" s="13" t="n">
        <v>132</v>
      </c>
      <c r="F537" s="13" t="n">
        <v>135</v>
      </c>
      <c r="G537" s="13" t="n">
        <v>623</v>
      </c>
      <c r="H537" s="13" t="n">
        <v>660</v>
      </c>
      <c r="I537" s="14" t="n">
        <v>4.61</v>
      </c>
      <c r="J537" s="62" t="n">
        <v>10.3</v>
      </c>
      <c r="K537" s="13" t="n">
        <v>125</v>
      </c>
      <c r="L537" s="13" t="n">
        <v>8</v>
      </c>
    </row>
    <row r="538">
      <c r="A538" s="11" t="inlineStr">
        <is>
          <t>HOSP-0537</t>
        </is>
      </c>
      <c r="B538" s="61" t="n">
        <v>45962</v>
      </c>
      <c r="C538" s="11" t="inlineStr">
        <is>
          <t>Site 08</t>
        </is>
      </c>
      <c r="D538" s="11" t="inlineStr">
        <is>
          <t>Orthopaedics</t>
        </is>
      </c>
      <c r="E538" s="13" t="n">
        <v>79</v>
      </c>
      <c r="F538" s="13" t="n">
        <v>75</v>
      </c>
      <c r="G538" s="13" t="n">
        <v>501</v>
      </c>
      <c r="H538" s="13" t="n">
        <v>570</v>
      </c>
      <c r="I538" s="14" t="n">
        <v>6.68</v>
      </c>
      <c r="J538" s="62" t="n">
        <v>14.4</v>
      </c>
      <c r="K538" s="13" t="n">
        <v>68</v>
      </c>
      <c r="L538" s="13" t="n">
        <v>10</v>
      </c>
    </row>
    <row r="539">
      <c r="A539" s="11" t="inlineStr">
        <is>
          <t>HOSP-0538</t>
        </is>
      </c>
      <c r="B539" s="61" t="n">
        <v>45962</v>
      </c>
      <c r="C539" s="11" t="inlineStr">
        <is>
          <t>Site 08</t>
        </is>
      </c>
      <c r="D539" s="11" t="inlineStr">
        <is>
          <t>General Medicine</t>
        </is>
      </c>
      <c r="E539" s="13" t="n">
        <v>180</v>
      </c>
      <c r="F539" s="13" t="n">
        <v>175</v>
      </c>
      <c r="G539" s="13" t="n">
        <v>698</v>
      </c>
      <c r="H539" s="13" t="n">
        <v>720</v>
      </c>
      <c r="I539" s="14" t="n">
        <v>3.99</v>
      </c>
      <c r="J539" s="62" t="n">
        <v>10.3</v>
      </c>
      <c r="K539" s="13" t="n">
        <v>157</v>
      </c>
      <c r="L539" s="13" t="n">
        <v>8</v>
      </c>
    </row>
    <row r="540">
      <c r="A540" s="11" t="inlineStr">
        <is>
          <t>HOSP-0539</t>
        </is>
      </c>
      <c r="B540" s="61" t="n">
        <v>45962</v>
      </c>
      <c r="C540" s="11" t="inlineStr">
        <is>
          <t>Site 08</t>
        </is>
      </c>
      <c r="D540" s="11" t="inlineStr">
        <is>
          <t>Nephrology</t>
        </is>
      </c>
      <c r="E540" s="13" t="n">
        <v>55</v>
      </c>
      <c r="F540" s="13" t="n">
        <v>50</v>
      </c>
      <c r="G540" s="13" t="n">
        <v>409</v>
      </c>
      <c r="H540" s="13" t="n">
        <v>540</v>
      </c>
      <c r="I540" s="14" t="n">
        <v>8.18</v>
      </c>
      <c r="J540" s="62" t="n">
        <v>12</v>
      </c>
      <c r="K540" s="13" t="n">
        <v>47</v>
      </c>
      <c r="L540" s="13" t="n">
        <v>5</v>
      </c>
    </row>
    <row r="541">
      <c r="A541" s="11" t="inlineStr">
        <is>
          <t>HOSP-0540</t>
        </is>
      </c>
      <c r="B541" s="61" t="n">
        <v>45962</v>
      </c>
      <c r="C541" s="11" t="inlineStr">
        <is>
          <t>Site 08</t>
        </is>
      </c>
      <c r="D541" s="11" t="inlineStr">
        <is>
          <t>Paediatrics</t>
        </is>
      </c>
      <c r="E541" s="13" t="n">
        <v>105</v>
      </c>
      <c r="F541" s="13" t="n">
        <v>108</v>
      </c>
      <c r="G541" s="13" t="n">
        <v>304</v>
      </c>
      <c r="H541" s="13" t="n">
        <v>330</v>
      </c>
      <c r="I541" s="14" t="n">
        <v>2.81</v>
      </c>
      <c r="J541" s="62" t="n">
        <v>6.3</v>
      </c>
      <c r="K541" s="13" t="n">
        <v>96</v>
      </c>
      <c r="L541" s="13" t="n">
        <v>3</v>
      </c>
    </row>
    <row r="542">
      <c r="A542" s="11" t="inlineStr">
        <is>
          <t>HOSP-0541</t>
        </is>
      </c>
      <c r="B542" s="61" t="n">
        <v>45962</v>
      </c>
      <c r="C542" s="11" t="inlineStr">
        <is>
          <t>Site 09</t>
        </is>
      </c>
      <c r="D542" s="11" t="inlineStr">
        <is>
          <t>Cardiology</t>
        </is>
      </c>
      <c r="E542" s="13" t="n">
        <v>100</v>
      </c>
      <c r="F542" s="13" t="n">
        <v>104</v>
      </c>
      <c r="G542" s="13" t="n">
        <v>565</v>
      </c>
      <c r="H542" s="13" t="n">
        <v>660</v>
      </c>
      <c r="I542" s="14" t="n">
        <v>5.43</v>
      </c>
      <c r="J542" s="62" t="n">
        <v>13.5</v>
      </c>
      <c r="K542" s="13" t="n">
        <v>95</v>
      </c>
      <c r="L542" s="13" t="n">
        <v>7</v>
      </c>
    </row>
    <row r="543">
      <c r="A543" s="11" t="inlineStr">
        <is>
          <t>HOSP-0542</t>
        </is>
      </c>
      <c r="B543" s="61" t="n">
        <v>45962</v>
      </c>
      <c r="C543" s="11" t="inlineStr">
        <is>
          <t>Site 09</t>
        </is>
      </c>
      <c r="D543" s="11" t="inlineStr">
        <is>
          <t>Orthopaedics</t>
        </is>
      </c>
      <c r="E543" s="13" t="n">
        <v>67</v>
      </c>
      <c r="F543" s="13" t="n">
        <v>64</v>
      </c>
      <c r="G543" s="13" t="n">
        <v>414</v>
      </c>
      <c r="H543" s="13" t="n">
        <v>570</v>
      </c>
      <c r="I543" s="14" t="n">
        <v>6.47</v>
      </c>
      <c r="J543" s="62" t="n">
        <v>13</v>
      </c>
      <c r="K543" s="13" t="n">
        <v>57</v>
      </c>
      <c r="L543" s="13" t="n">
        <v>9</v>
      </c>
    </row>
    <row r="544">
      <c r="A544" s="11" t="inlineStr">
        <is>
          <t>HOSP-0543</t>
        </is>
      </c>
      <c r="B544" s="61" t="n">
        <v>45962</v>
      </c>
      <c r="C544" s="11" t="inlineStr">
        <is>
          <t>Site 09</t>
        </is>
      </c>
      <c r="D544" s="11" t="inlineStr">
        <is>
          <t>General Medicine</t>
        </is>
      </c>
      <c r="E544" s="13" t="n">
        <v>137</v>
      </c>
      <c r="F544" s="13" t="n">
        <v>136</v>
      </c>
      <c r="G544" s="13" t="n">
        <v>527</v>
      </c>
      <c r="H544" s="13" t="n">
        <v>720</v>
      </c>
      <c r="I544" s="14" t="n">
        <v>3.88</v>
      </c>
      <c r="J544" s="62" t="n">
        <v>6</v>
      </c>
      <c r="K544" s="13" t="n">
        <v>127</v>
      </c>
      <c r="L544" s="13" t="n">
        <v>10</v>
      </c>
    </row>
    <row r="545">
      <c r="A545" s="11" t="inlineStr">
        <is>
          <t>HOSP-0544</t>
        </is>
      </c>
      <c r="B545" s="61" t="n">
        <v>45962</v>
      </c>
      <c r="C545" s="11" t="inlineStr">
        <is>
          <t>Site 09</t>
        </is>
      </c>
      <c r="D545" s="11" t="inlineStr">
        <is>
          <t>Nephrology</t>
        </is>
      </c>
      <c r="E545" s="13" t="n">
        <v>50</v>
      </c>
      <c r="F545" s="13" t="n">
        <v>55</v>
      </c>
      <c r="G545" s="13" t="n">
        <v>409</v>
      </c>
      <c r="H545" s="13" t="n">
        <v>540</v>
      </c>
      <c r="I545" s="14" t="n">
        <v>7.44</v>
      </c>
      <c r="J545" s="62" t="n">
        <v>12.2</v>
      </c>
      <c r="K545" s="13" t="n">
        <v>48</v>
      </c>
      <c r="L545" s="13" t="n">
        <v>4</v>
      </c>
    </row>
    <row r="546">
      <c r="A546" s="11" t="inlineStr">
        <is>
          <t>HOSP-0545</t>
        </is>
      </c>
      <c r="B546" s="61" t="n">
        <v>45962</v>
      </c>
      <c r="C546" s="11" t="inlineStr">
        <is>
          <t>Site 09</t>
        </is>
      </c>
      <c r="D546" s="11" t="inlineStr">
        <is>
          <t>Paediatrics</t>
        </is>
      </c>
      <c r="E546" s="13" t="n">
        <v>79</v>
      </c>
      <c r="F546" s="13" t="n">
        <v>75</v>
      </c>
      <c r="G546" s="13" t="n">
        <v>221</v>
      </c>
      <c r="H546" s="13" t="n">
        <v>330</v>
      </c>
      <c r="I546" s="14" t="n">
        <v>2.95</v>
      </c>
      <c r="J546" s="62" t="n">
        <v>6.7</v>
      </c>
      <c r="K546" s="13" t="n">
        <v>68</v>
      </c>
      <c r="L546" s="13" t="n">
        <v>4</v>
      </c>
    </row>
    <row r="547">
      <c r="A547" s="11" t="inlineStr">
        <is>
          <t>HOSP-0546</t>
        </is>
      </c>
      <c r="B547" s="61" t="n">
        <v>45962</v>
      </c>
      <c r="C547" s="11" t="inlineStr">
        <is>
          <t>Site 10</t>
        </is>
      </c>
      <c r="D547" s="11" t="inlineStr">
        <is>
          <t>Cardiology</t>
        </is>
      </c>
      <c r="E547" s="13" t="n">
        <v>95</v>
      </c>
      <c r="F547" s="13" t="n">
        <v>91</v>
      </c>
      <c r="G547" s="13" t="n">
        <v>483</v>
      </c>
      <c r="H547" s="13" t="n">
        <v>660</v>
      </c>
      <c r="I547" s="14" t="n">
        <v>5.31</v>
      </c>
      <c r="J547" s="62" t="n">
        <v>11.9</v>
      </c>
      <c r="K547" s="13" t="n">
        <v>85</v>
      </c>
      <c r="L547" s="13" t="n">
        <v>7</v>
      </c>
    </row>
    <row r="548">
      <c r="A548" s="11" t="inlineStr">
        <is>
          <t>HOSP-0547</t>
        </is>
      </c>
      <c r="B548" s="61" t="n">
        <v>45962</v>
      </c>
      <c r="C548" s="11" t="inlineStr">
        <is>
          <t>Site 10</t>
        </is>
      </c>
      <c r="D548" s="11" t="inlineStr">
        <is>
          <t>Orthopaedics</t>
        </is>
      </c>
      <c r="E548" s="13" t="n">
        <v>73</v>
      </c>
      <c r="F548" s="13" t="n">
        <v>71</v>
      </c>
      <c r="G548" s="13" t="n">
        <v>431</v>
      </c>
      <c r="H548" s="13" t="n">
        <v>570</v>
      </c>
      <c r="I548" s="14" t="n">
        <v>6.07</v>
      </c>
      <c r="J548" s="62" t="n">
        <v>16.1</v>
      </c>
      <c r="K548" s="13" t="n">
        <v>65</v>
      </c>
      <c r="L548" s="13" t="n">
        <v>7</v>
      </c>
    </row>
    <row r="549">
      <c r="A549" s="11" t="inlineStr">
        <is>
          <t>HOSP-0548</t>
        </is>
      </c>
      <c r="B549" s="61" t="n">
        <v>45962</v>
      </c>
      <c r="C549" s="11" t="inlineStr">
        <is>
          <t>Site 10</t>
        </is>
      </c>
      <c r="D549" s="11" t="inlineStr">
        <is>
          <t>General Medicine</t>
        </is>
      </c>
      <c r="E549" s="13" t="n">
        <v>143</v>
      </c>
      <c r="F549" s="13" t="n">
        <v>146</v>
      </c>
      <c r="G549" s="13" t="n">
        <v>591</v>
      </c>
      <c r="H549" s="13" t="n">
        <v>720</v>
      </c>
      <c r="I549" s="14" t="n">
        <v>4.05</v>
      </c>
      <c r="J549" s="62" t="n">
        <v>7.6</v>
      </c>
      <c r="K549" s="13" t="n">
        <v>127</v>
      </c>
      <c r="L549" s="13" t="n">
        <v>8</v>
      </c>
    </row>
    <row r="550">
      <c r="A550" s="11" t="inlineStr">
        <is>
          <t>HOSP-0549</t>
        </is>
      </c>
      <c r="B550" s="61" t="n">
        <v>45962</v>
      </c>
      <c r="C550" s="11" t="inlineStr">
        <is>
          <t>Site 10</t>
        </is>
      </c>
      <c r="D550" s="11" t="inlineStr">
        <is>
          <t>Nephrology</t>
        </is>
      </c>
      <c r="E550" s="13" t="n">
        <v>58</v>
      </c>
      <c r="F550" s="13" t="n">
        <v>62</v>
      </c>
      <c r="G550" s="13" t="n">
        <v>512</v>
      </c>
      <c r="H550" s="13" t="n">
        <v>540</v>
      </c>
      <c r="I550" s="14" t="n">
        <v>8.26</v>
      </c>
      <c r="J550" s="62" t="n">
        <v>11.1</v>
      </c>
      <c r="K550" s="13" t="n">
        <v>56</v>
      </c>
      <c r="L550" s="13" t="n">
        <v>5</v>
      </c>
    </row>
    <row r="551">
      <c r="A551" s="11" t="inlineStr">
        <is>
          <t>HOSP-0550</t>
        </is>
      </c>
      <c r="B551" s="61" t="n">
        <v>45962</v>
      </c>
      <c r="C551" s="11" t="inlineStr">
        <is>
          <t>Site 10</t>
        </is>
      </c>
      <c r="D551" s="11" t="inlineStr">
        <is>
          <t>Paediatrics</t>
        </is>
      </c>
      <c r="E551" s="13" t="n">
        <v>81</v>
      </c>
      <c r="F551" s="13" t="n">
        <v>80</v>
      </c>
      <c r="G551" s="13" t="n">
        <v>231</v>
      </c>
      <c r="H551" s="13" t="n">
        <v>330</v>
      </c>
      <c r="I551" s="14" t="n">
        <v>2.89</v>
      </c>
      <c r="J551" s="62" t="n">
        <v>6.2</v>
      </c>
      <c r="K551" s="13" t="n">
        <v>75</v>
      </c>
      <c r="L551" s="13" t="n">
        <v>3</v>
      </c>
    </row>
    <row r="552">
      <c r="A552" s="11" t="inlineStr">
        <is>
          <t>HOSP-0551</t>
        </is>
      </c>
      <c r="B552" s="61" t="n">
        <v>45992</v>
      </c>
      <c r="C552" s="11" t="inlineStr">
        <is>
          <t>Site 01</t>
        </is>
      </c>
      <c r="D552" s="11" t="inlineStr">
        <is>
          <t>Cardiology</t>
        </is>
      </c>
      <c r="E552" s="13" t="n">
        <v>116</v>
      </c>
      <c r="F552" s="13" t="n">
        <v>113</v>
      </c>
      <c r="G552" s="13" t="n">
        <v>612</v>
      </c>
      <c r="H552" s="13" t="n">
        <v>682</v>
      </c>
      <c r="I552" s="14" t="n">
        <v>5.42</v>
      </c>
      <c r="J552" s="62" t="n">
        <v>13.6</v>
      </c>
      <c r="K552" s="13" t="n">
        <v>98</v>
      </c>
      <c r="L552" s="13" t="n">
        <v>7</v>
      </c>
    </row>
    <row r="553">
      <c r="A553" s="11" t="inlineStr">
        <is>
          <t>HOSP-0552</t>
        </is>
      </c>
      <c r="B553" s="61" t="n">
        <v>45992</v>
      </c>
      <c r="C553" s="11" t="inlineStr">
        <is>
          <t>Site 01</t>
        </is>
      </c>
      <c r="D553" s="11" t="inlineStr">
        <is>
          <t>Orthopaedics</t>
        </is>
      </c>
      <c r="E553" s="13" t="n">
        <v>84</v>
      </c>
      <c r="F553" s="13" t="n">
        <v>87</v>
      </c>
      <c r="G553" s="13" t="n">
        <v>555</v>
      </c>
      <c r="H553" s="13" t="n">
        <v>589</v>
      </c>
      <c r="I553" s="14" t="n">
        <v>6.38</v>
      </c>
      <c r="J553" s="62" t="n">
        <v>14.7</v>
      </c>
      <c r="K553" s="13" t="n">
        <v>82</v>
      </c>
      <c r="L553" s="13" t="n">
        <v>9</v>
      </c>
    </row>
    <row r="554">
      <c r="A554" s="11" t="inlineStr">
        <is>
          <t>HOSP-0553</t>
        </is>
      </c>
      <c r="B554" s="61" t="n">
        <v>45992</v>
      </c>
      <c r="C554" s="11" t="inlineStr">
        <is>
          <t>Site 01</t>
        </is>
      </c>
      <c r="D554" s="11" t="inlineStr">
        <is>
          <t>General Medicine</t>
        </is>
      </c>
      <c r="E554" s="13" t="n">
        <v>179</v>
      </c>
      <c r="F554" s="13" t="n">
        <v>178</v>
      </c>
      <c r="G554" s="13" t="n">
        <v>664</v>
      </c>
      <c r="H554" s="13" t="n">
        <v>744</v>
      </c>
      <c r="I554" s="14" t="n">
        <v>3.73</v>
      </c>
      <c r="J554" s="62" t="n">
        <v>8.699999999999999</v>
      </c>
      <c r="K554" s="13" t="n">
        <v>165</v>
      </c>
      <c r="L554" s="13" t="n">
        <v>8</v>
      </c>
    </row>
    <row r="555">
      <c r="A555" s="11" t="inlineStr">
        <is>
          <t>HOSP-0554</t>
        </is>
      </c>
      <c r="B555" s="61" t="n">
        <v>45992</v>
      </c>
      <c r="C555" s="11" t="inlineStr">
        <is>
          <t>Site 01</t>
        </is>
      </c>
      <c r="D555" s="11" t="inlineStr">
        <is>
          <t>Nephrology</t>
        </is>
      </c>
      <c r="E555" s="13" t="n">
        <v>62</v>
      </c>
      <c r="F555" s="13" t="n">
        <v>64</v>
      </c>
      <c r="G555" s="13" t="n">
        <v>461</v>
      </c>
      <c r="H555" s="13" t="n">
        <v>558</v>
      </c>
      <c r="I555" s="14" t="n">
        <v>7.2</v>
      </c>
      <c r="J555" s="62" t="n">
        <v>10.6</v>
      </c>
      <c r="K555" s="13" t="n">
        <v>56</v>
      </c>
      <c r="L555" s="13" t="n">
        <v>5</v>
      </c>
    </row>
    <row r="556">
      <c r="A556" s="11" t="inlineStr">
        <is>
          <t>HOSP-0555</t>
        </is>
      </c>
      <c r="B556" s="61" t="n">
        <v>45992</v>
      </c>
      <c r="C556" s="11" t="inlineStr">
        <is>
          <t>Site 01</t>
        </is>
      </c>
      <c r="D556" s="11" t="inlineStr">
        <is>
          <t>Paediatrics</t>
        </is>
      </c>
      <c r="E556" s="13" t="n">
        <v>88</v>
      </c>
      <c r="F556" s="13" t="n">
        <v>82</v>
      </c>
      <c r="G556" s="13" t="n">
        <v>254</v>
      </c>
      <c r="H556" s="13" t="n">
        <v>341</v>
      </c>
      <c r="I556" s="14" t="n">
        <v>3.1</v>
      </c>
      <c r="J556" s="62" t="n">
        <v>6.1</v>
      </c>
      <c r="K556" s="13" t="n">
        <v>73</v>
      </c>
      <c r="L556" s="13" t="n">
        <v>3</v>
      </c>
    </row>
    <row r="557">
      <c r="A557" s="11" t="inlineStr">
        <is>
          <t>HOSP-0556</t>
        </is>
      </c>
      <c r="B557" s="61" t="n">
        <v>45992</v>
      </c>
      <c r="C557" s="11" t="inlineStr">
        <is>
          <t>Site 02</t>
        </is>
      </c>
      <c r="D557" s="11" t="inlineStr">
        <is>
          <t>Cardiology</t>
        </is>
      </c>
      <c r="E557" s="13" t="n">
        <v>100</v>
      </c>
      <c r="F557" s="13" t="n">
        <v>94</v>
      </c>
      <c r="G557" s="13" t="n">
        <v>508</v>
      </c>
      <c r="H557" s="13" t="n">
        <v>682</v>
      </c>
      <c r="I557" s="14" t="n">
        <v>5.4</v>
      </c>
      <c r="J557" s="62" t="n">
        <v>11.7</v>
      </c>
      <c r="K557" s="13" t="n">
        <v>85</v>
      </c>
      <c r="L557" s="13" t="n">
        <v>6</v>
      </c>
    </row>
    <row r="558">
      <c r="A558" s="11" t="inlineStr">
        <is>
          <t>HOSP-0557</t>
        </is>
      </c>
      <c r="B558" s="61" t="n">
        <v>45992</v>
      </c>
      <c r="C558" s="11" t="inlineStr">
        <is>
          <t>Site 02</t>
        </is>
      </c>
      <c r="D558" s="11" t="inlineStr">
        <is>
          <t>Orthopaedics</t>
        </is>
      </c>
      <c r="E558" s="13" t="n">
        <v>82</v>
      </c>
      <c r="F558" s="13" t="n">
        <v>76</v>
      </c>
      <c r="G558" s="13" t="n">
        <v>530</v>
      </c>
      <c r="H558" s="13" t="n">
        <v>589</v>
      </c>
      <c r="I558" s="14" t="n">
        <v>6.97</v>
      </c>
      <c r="J558" s="62" t="n">
        <v>12.1</v>
      </c>
      <c r="K558" s="13" t="n">
        <v>71</v>
      </c>
      <c r="L558" s="13" t="n">
        <v>8</v>
      </c>
    </row>
    <row r="559">
      <c r="A559" s="11" t="inlineStr">
        <is>
          <t>HOSP-0558</t>
        </is>
      </c>
      <c r="B559" s="61" t="n">
        <v>45992</v>
      </c>
      <c r="C559" s="11" t="inlineStr">
        <is>
          <t>Site 02</t>
        </is>
      </c>
      <c r="D559" s="11" t="inlineStr">
        <is>
          <t>General Medicine</t>
        </is>
      </c>
      <c r="E559" s="13" t="n">
        <v>175</v>
      </c>
      <c r="F559" s="13" t="n">
        <v>171</v>
      </c>
      <c r="G559" s="13" t="n">
        <v>730</v>
      </c>
      <c r="H559" s="13" t="n">
        <v>744</v>
      </c>
      <c r="I559" s="14" t="n">
        <v>4.27</v>
      </c>
      <c r="J559" s="62" t="n">
        <v>7</v>
      </c>
      <c r="K559" s="13" t="n">
        <v>148</v>
      </c>
      <c r="L559" s="13" t="n">
        <v>10</v>
      </c>
    </row>
    <row r="560">
      <c r="A560" s="11" t="inlineStr">
        <is>
          <t>HOSP-0559</t>
        </is>
      </c>
      <c r="B560" s="61" t="n">
        <v>45992</v>
      </c>
      <c r="C560" s="11" t="inlineStr">
        <is>
          <t>Site 02</t>
        </is>
      </c>
      <c r="D560" s="11" t="inlineStr">
        <is>
          <t>Nephrology</t>
        </is>
      </c>
      <c r="E560" s="13" t="n">
        <v>60</v>
      </c>
      <c r="F560" s="13" t="n">
        <v>63</v>
      </c>
      <c r="G560" s="13" t="n">
        <v>507</v>
      </c>
      <c r="H560" s="13" t="n">
        <v>558</v>
      </c>
      <c r="I560" s="14" t="n">
        <v>8.050000000000001</v>
      </c>
      <c r="J560" s="62" t="n">
        <v>13.6</v>
      </c>
      <c r="K560" s="13" t="n">
        <v>55</v>
      </c>
      <c r="L560" s="13" t="n">
        <v>4</v>
      </c>
    </row>
    <row r="561">
      <c r="A561" s="11" t="inlineStr">
        <is>
          <t>HOSP-0560</t>
        </is>
      </c>
      <c r="B561" s="61" t="n">
        <v>45992</v>
      </c>
      <c r="C561" s="11" t="inlineStr">
        <is>
          <t>Site 02</t>
        </is>
      </c>
      <c r="D561" s="11" t="inlineStr">
        <is>
          <t>Paediatrics</t>
        </is>
      </c>
      <c r="E561" s="13" t="n">
        <v>82</v>
      </c>
      <c r="F561" s="13" t="n">
        <v>76</v>
      </c>
      <c r="G561" s="13" t="n">
        <v>246</v>
      </c>
      <c r="H561" s="13" t="n">
        <v>341</v>
      </c>
      <c r="I561" s="14" t="n">
        <v>3.24</v>
      </c>
      <c r="J561" s="62" t="n">
        <v>7.4</v>
      </c>
      <c r="K561" s="13" t="n">
        <v>70</v>
      </c>
      <c r="L561" s="13" t="n">
        <v>4</v>
      </c>
    </row>
    <row r="562">
      <c r="A562" s="11" t="inlineStr">
        <is>
          <t>HOSP-0561</t>
        </is>
      </c>
      <c r="B562" s="61" t="n">
        <v>45992</v>
      </c>
      <c r="C562" s="11" t="inlineStr">
        <is>
          <t>Site 03</t>
        </is>
      </c>
      <c r="D562" s="11" t="inlineStr">
        <is>
          <t>Cardiology</t>
        </is>
      </c>
      <c r="E562" s="13" t="n">
        <v>123</v>
      </c>
      <c r="F562" s="13" t="n">
        <v>124</v>
      </c>
      <c r="G562" s="13" t="n">
        <v>638</v>
      </c>
      <c r="H562" s="13" t="n">
        <v>682</v>
      </c>
      <c r="I562" s="14" t="n">
        <v>5.15</v>
      </c>
      <c r="J562" s="62" t="n">
        <v>10.3</v>
      </c>
      <c r="K562" s="13" t="n">
        <v>112</v>
      </c>
      <c r="L562" s="13" t="n">
        <v>7</v>
      </c>
    </row>
    <row r="563">
      <c r="A563" s="11" t="inlineStr">
        <is>
          <t>HOSP-0562</t>
        </is>
      </c>
      <c r="B563" s="61" t="n">
        <v>45992</v>
      </c>
      <c r="C563" s="11" t="inlineStr">
        <is>
          <t>Site 03</t>
        </is>
      </c>
      <c r="D563" s="11" t="inlineStr">
        <is>
          <t>Orthopaedics</t>
        </is>
      </c>
      <c r="E563" s="13" t="n">
        <v>88</v>
      </c>
      <c r="F563" s="13" t="n">
        <v>85</v>
      </c>
      <c r="G563" s="13" t="n">
        <v>540</v>
      </c>
      <c r="H563" s="13" t="n">
        <v>589</v>
      </c>
      <c r="I563" s="14" t="n">
        <v>6.35</v>
      </c>
      <c r="J563" s="62" t="n">
        <v>15.2</v>
      </c>
      <c r="K563" s="13" t="n">
        <v>74</v>
      </c>
      <c r="L563" s="13" t="n">
        <v>10</v>
      </c>
    </row>
    <row r="564">
      <c r="A564" s="11" t="inlineStr">
        <is>
          <t>HOSP-0563</t>
        </is>
      </c>
      <c r="B564" s="61" t="n">
        <v>45992</v>
      </c>
      <c r="C564" s="11" t="inlineStr">
        <is>
          <t>Site 03</t>
        </is>
      </c>
      <c r="D564" s="11" t="inlineStr">
        <is>
          <t>General Medicine</t>
        </is>
      </c>
      <c r="E564" s="13" t="n">
        <v>180</v>
      </c>
      <c r="F564" s="13" t="n">
        <v>180</v>
      </c>
      <c r="G564" s="13" t="n">
        <v>733</v>
      </c>
      <c r="H564" s="13" t="n">
        <v>744</v>
      </c>
      <c r="I564" s="14" t="n">
        <v>4.07</v>
      </c>
      <c r="J564" s="62" t="n">
        <v>8.4</v>
      </c>
      <c r="K564" s="13" t="n">
        <v>168</v>
      </c>
      <c r="L564" s="13" t="n">
        <v>9</v>
      </c>
    </row>
    <row r="565">
      <c r="A565" s="11" t="inlineStr">
        <is>
          <t>HOSP-0564</t>
        </is>
      </c>
      <c r="B565" s="61" t="n">
        <v>45992</v>
      </c>
      <c r="C565" s="11" t="inlineStr">
        <is>
          <t>Site 03</t>
        </is>
      </c>
      <c r="D565" s="11" t="inlineStr">
        <is>
          <t>Nephrology</t>
        </is>
      </c>
      <c r="E565" s="13" t="n">
        <v>64</v>
      </c>
      <c r="F565" s="13" t="n">
        <v>67</v>
      </c>
      <c r="G565" s="13" t="n">
        <v>518</v>
      </c>
      <c r="H565" s="13" t="n">
        <v>558</v>
      </c>
      <c r="I565" s="14" t="n">
        <v>7.73</v>
      </c>
      <c r="J565" s="62" t="n">
        <v>11.7</v>
      </c>
      <c r="K565" s="13" t="n">
        <v>58</v>
      </c>
      <c r="L565" s="13" t="n">
        <v>6</v>
      </c>
    </row>
    <row r="566">
      <c r="A566" s="11" t="inlineStr">
        <is>
          <t>HOSP-0565</t>
        </is>
      </c>
      <c r="B566" s="61" t="n">
        <v>45992</v>
      </c>
      <c r="C566" s="11" t="inlineStr">
        <is>
          <t>Site 03</t>
        </is>
      </c>
      <c r="D566" s="11" t="inlineStr">
        <is>
          <t>Paediatrics</t>
        </is>
      </c>
      <c r="E566" s="13" t="n">
        <v>105</v>
      </c>
      <c r="F566" s="13" t="n">
        <v>111</v>
      </c>
      <c r="G566" s="13" t="n">
        <v>323</v>
      </c>
      <c r="H566" s="13" t="n">
        <v>341</v>
      </c>
      <c r="I566" s="14" t="n">
        <v>2.91</v>
      </c>
      <c r="J566" s="62" t="n">
        <v>8.9</v>
      </c>
      <c r="K566" s="13" t="n">
        <v>96</v>
      </c>
      <c r="L566" s="13" t="n">
        <v>5</v>
      </c>
    </row>
    <row r="567">
      <c r="A567" s="11" t="inlineStr">
        <is>
          <t>HOSP-0566</t>
        </is>
      </c>
      <c r="B567" s="61" t="n">
        <v>45992</v>
      </c>
      <c r="C567" s="11" t="inlineStr">
        <is>
          <t>Site 04</t>
        </is>
      </c>
      <c r="D567" s="11" t="inlineStr">
        <is>
          <t>Cardiology</t>
        </is>
      </c>
      <c r="E567" s="13" t="n">
        <v>112</v>
      </c>
      <c r="F567" s="13" t="n">
        <v>116</v>
      </c>
      <c r="G567" s="13" t="n">
        <v>635</v>
      </c>
      <c r="H567" s="13" t="n">
        <v>682</v>
      </c>
      <c r="I567" s="14" t="n">
        <v>5.47</v>
      </c>
      <c r="J567" s="62" t="n">
        <v>11.6</v>
      </c>
      <c r="K567" s="13" t="n">
        <v>107</v>
      </c>
      <c r="L567" s="13" t="n">
        <v>11</v>
      </c>
    </row>
    <row r="568">
      <c r="A568" s="11" t="inlineStr">
        <is>
          <t>HOSP-0567</t>
        </is>
      </c>
      <c r="B568" s="61" t="n">
        <v>45992</v>
      </c>
      <c r="C568" s="11" t="inlineStr">
        <is>
          <t>Site 04</t>
        </is>
      </c>
      <c r="D568" s="11" t="inlineStr">
        <is>
          <t>Orthopaedics</t>
        </is>
      </c>
      <c r="E568" s="13" t="n">
        <v>84</v>
      </c>
      <c r="F568" s="13" t="n">
        <v>88</v>
      </c>
      <c r="G568" s="13" t="n">
        <v>523</v>
      </c>
      <c r="H568" s="13" t="n">
        <v>589</v>
      </c>
      <c r="I568" s="14" t="n">
        <v>5.94</v>
      </c>
      <c r="J568" s="62" t="n">
        <v>14.7</v>
      </c>
      <c r="K568" s="13" t="n">
        <v>80</v>
      </c>
      <c r="L568" s="13" t="n">
        <v>9</v>
      </c>
    </row>
    <row r="569">
      <c r="A569" s="11" t="inlineStr">
        <is>
          <t>HOSP-0568</t>
        </is>
      </c>
      <c r="B569" s="61" t="n">
        <v>45992</v>
      </c>
      <c r="C569" s="11" t="inlineStr">
        <is>
          <t>Site 04</t>
        </is>
      </c>
      <c r="D569" s="11" t="inlineStr">
        <is>
          <t>General Medicine</t>
        </is>
      </c>
      <c r="E569" s="13" t="n">
        <v>156</v>
      </c>
      <c r="F569" s="13" t="n">
        <v>160</v>
      </c>
      <c r="G569" s="13" t="n">
        <v>718</v>
      </c>
      <c r="H569" s="13" t="n">
        <v>744</v>
      </c>
      <c r="I569" s="14" t="n">
        <v>4.49</v>
      </c>
      <c r="J569" s="62" t="n">
        <v>6.6</v>
      </c>
      <c r="K569" s="13" t="n">
        <v>140</v>
      </c>
      <c r="L569" s="13" t="n">
        <v>8</v>
      </c>
    </row>
    <row r="570">
      <c r="A570" s="11" t="inlineStr">
        <is>
          <t>HOSP-0569</t>
        </is>
      </c>
      <c r="B570" s="61" t="n">
        <v>45992</v>
      </c>
      <c r="C570" s="11" t="inlineStr">
        <is>
          <t>Site 04</t>
        </is>
      </c>
      <c r="D570" s="11" t="inlineStr">
        <is>
          <t>Nephrology</t>
        </is>
      </c>
      <c r="E570" s="13" t="n">
        <v>63</v>
      </c>
      <c r="F570" s="13" t="n">
        <v>60</v>
      </c>
      <c r="G570" s="13" t="n">
        <v>502</v>
      </c>
      <c r="H570" s="13" t="n">
        <v>558</v>
      </c>
      <c r="I570" s="14" t="n">
        <v>8.369999999999999</v>
      </c>
      <c r="J570" s="62" t="n">
        <v>11.5</v>
      </c>
      <c r="K570" s="13" t="n">
        <v>56</v>
      </c>
      <c r="L570" s="13" t="n">
        <v>4</v>
      </c>
    </row>
    <row r="571">
      <c r="A571" s="11" t="inlineStr">
        <is>
          <t>HOSP-0570</t>
        </is>
      </c>
      <c r="B571" s="61" t="n">
        <v>45992</v>
      </c>
      <c r="C571" s="11" t="inlineStr">
        <is>
          <t>Site 04</t>
        </is>
      </c>
      <c r="D571" s="11" t="inlineStr">
        <is>
          <t>Paediatrics</t>
        </is>
      </c>
      <c r="E571" s="13" t="n">
        <v>90</v>
      </c>
      <c r="F571" s="13" t="n">
        <v>87</v>
      </c>
      <c r="G571" s="13" t="n">
        <v>262</v>
      </c>
      <c r="H571" s="13" t="n">
        <v>341</v>
      </c>
      <c r="I571" s="14" t="n">
        <v>3.01</v>
      </c>
      <c r="J571" s="62" t="n">
        <v>5.6</v>
      </c>
      <c r="K571" s="13" t="n">
        <v>79</v>
      </c>
      <c r="L571" s="13" t="n">
        <v>4</v>
      </c>
    </row>
    <row r="572">
      <c r="A572" s="11" t="inlineStr">
        <is>
          <t>HOSP-0571</t>
        </is>
      </c>
      <c r="B572" s="61" t="n">
        <v>45992</v>
      </c>
      <c r="C572" s="11" t="inlineStr">
        <is>
          <t>Site 05</t>
        </is>
      </c>
      <c r="D572" s="11" t="inlineStr">
        <is>
          <t>Cardiology</t>
        </is>
      </c>
      <c r="E572" s="13" t="n">
        <v>102</v>
      </c>
      <c r="F572" s="13" t="n">
        <v>103</v>
      </c>
      <c r="G572" s="13" t="n">
        <v>577</v>
      </c>
      <c r="H572" s="13" t="n">
        <v>682</v>
      </c>
      <c r="I572" s="14" t="n">
        <v>5.6</v>
      </c>
      <c r="J572" s="62" t="n">
        <v>8.300000000000001</v>
      </c>
      <c r="K572" s="13" t="n">
        <v>93</v>
      </c>
      <c r="L572" s="13" t="n">
        <v>8</v>
      </c>
    </row>
    <row r="573">
      <c r="A573" s="11" t="inlineStr">
        <is>
          <t>HOSP-0572</t>
        </is>
      </c>
      <c r="B573" s="61" t="n">
        <v>45992</v>
      </c>
      <c r="C573" s="11" t="inlineStr">
        <is>
          <t>Site 05</t>
        </is>
      </c>
      <c r="D573" s="11" t="inlineStr">
        <is>
          <t>Orthopaedics</t>
        </is>
      </c>
      <c r="E573" s="13" t="n">
        <v>72</v>
      </c>
      <c r="F573" s="13" t="n">
        <v>77</v>
      </c>
      <c r="G573" s="13" t="n">
        <v>495</v>
      </c>
      <c r="H573" s="13" t="n">
        <v>589</v>
      </c>
      <c r="I573" s="14" t="n">
        <v>6.43</v>
      </c>
      <c r="J573" s="62" t="n">
        <v>12.3</v>
      </c>
      <c r="K573" s="13" t="n">
        <v>67</v>
      </c>
      <c r="L573" s="13" t="n">
        <v>8</v>
      </c>
    </row>
    <row r="574">
      <c r="A574" s="11" t="inlineStr">
        <is>
          <t>HOSP-0573</t>
        </is>
      </c>
      <c r="B574" s="61" t="n">
        <v>45992</v>
      </c>
      <c r="C574" s="11" t="inlineStr">
        <is>
          <t>Site 05</t>
        </is>
      </c>
      <c r="D574" s="11" t="inlineStr">
        <is>
          <t>General Medicine</t>
        </is>
      </c>
      <c r="E574" s="13" t="n">
        <v>142</v>
      </c>
      <c r="F574" s="13" t="n">
        <v>138</v>
      </c>
      <c r="G574" s="13" t="n">
        <v>522</v>
      </c>
      <c r="H574" s="13" t="n">
        <v>744</v>
      </c>
      <c r="I574" s="14" t="n">
        <v>3.78</v>
      </c>
      <c r="J574" s="62" t="n">
        <v>7.1</v>
      </c>
      <c r="K574" s="13" t="n">
        <v>119</v>
      </c>
      <c r="L574" s="13" t="n">
        <v>7</v>
      </c>
    </row>
    <row r="575">
      <c r="A575" s="11" t="inlineStr">
        <is>
          <t>HOSP-0574</t>
        </is>
      </c>
      <c r="B575" s="61" t="n">
        <v>45992</v>
      </c>
      <c r="C575" s="11" t="inlineStr">
        <is>
          <t>Site 05</t>
        </is>
      </c>
      <c r="D575" s="11" t="inlineStr">
        <is>
          <t>Nephrology</t>
        </is>
      </c>
      <c r="E575" s="13" t="n">
        <v>45</v>
      </c>
      <c r="F575" s="13" t="n">
        <v>39</v>
      </c>
      <c r="G575" s="13" t="n">
        <v>287</v>
      </c>
      <c r="H575" s="13" t="n">
        <v>558</v>
      </c>
      <c r="I575" s="14" t="n">
        <v>7.36</v>
      </c>
      <c r="J575" s="62" t="n">
        <v>11.3</v>
      </c>
      <c r="K575" s="13" t="n">
        <v>36</v>
      </c>
      <c r="L575" s="13" t="n">
        <v>3</v>
      </c>
    </row>
    <row r="576">
      <c r="A576" s="11" t="inlineStr">
        <is>
          <t>HOSP-0575</t>
        </is>
      </c>
      <c r="B576" s="61" t="n">
        <v>45992</v>
      </c>
      <c r="C576" s="11" t="inlineStr">
        <is>
          <t>Site 05</t>
        </is>
      </c>
      <c r="D576" s="11" t="inlineStr">
        <is>
          <t>Paediatrics</t>
        </is>
      </c>
      <c r="E576" s="13" t="n">
        <v>77</v>
      </c>
      <c r="F576" s="13" t="n">
        <v>83</v>
      </c>
      <c r="G576" s="13" t="n">
        <v>244</v>
      </c>
      <c r="H576" s="13" t="n">
        <v>341</v>
      </c>
      <c r="I576" s="14" t="n">
        <v>2.94</v>
      </c>
      <c r="J576" s="62" t="n">
        <v>6.3</v>
      </c>
      <c r="K576" s="13" t="n">
        <v>76</v>
      </c>
      <c r="L576" s="13" t="n">
        <v>4</v>
      </c>
    </row>
    <row r="577">
      <c r="A577" s="11" t="inlineStr">
        <is>
          <t>HOSP-0576</t>
        </is>
      </c>
      <c r="B577" s="61" t="n">
        <v>45992</v>
      </c>
      <c r="C577" s="11" t="inlineStr">
        <is>
          <t>Site 06</t>
        </is>
      </c>
      <c r="D577" s="11" t="inlineStr">
        <is>
          <t>Cardiology</t>
        </is>
      </c>
      <c r="E577" s="13" t="n">
        <v>120</v>
      </c>
      <c r="F577" s="13" t="n">
        <v>126</v>
      </c>
      <c r="G577" s="13" t="n">
        <v>659</v>
      </c>
      <c r="H577" s="13" t="n">
        <v>682</v>
      </c>
      <c r="I577" s="14" t="n">
        <v>5.23</v>
      </c>
      <c r="J577" s="62" t="n">
        <v>11.9</v>
      </c>
      <c r="K577" s="13" t="n">
        <v>109</v>
      </c>
      <c r="L577" s="13" t="n">
        <v>8</v>
      </c>
    </row>
    <row r="578">
      <c r="A578" s="11" t="inlineStr">
        <is>
          <t>HOSP-0577</t>
        </is>
      </c>
      <c r="B578" s="61" t="n">
        <v>45992</v>
      </c>
      <c r="C578" s="11" t="inlineStr">
        <is>
          <t>Site 06</t>
        </is>
      </c>
      <c r="D578" s="11" t="inlineStr">
        <is>
          <t>Orthopaedics</t>
        </is>
      </c>
      <c r="E578" s="13" t="n">
        <v>92</v>
      </c>
      <c r="F578" s="13" t="n">
        <v>86</v>
      </c>
      <c r="G578" s="13" t="n">
        <v>573</v>
      </c>
      <c r="H578" s="13" t="n">
        <v>589</v>
      </c>
      <c r="I578" s="14" t="n">
        <v>6.66</v>
      </c>
      <c r="J578" s="62" t="n">
        <v>13.1</v>
      </c>
      <c r="K578" s="13" t="n">
        <v>78</v>
      </c>
      <c r="L578" s="13" t="n">
        <v>10</v>
      </c>
    </row>
    <row r="579">
      <c r="A579" s="11" t="inlineStr">
        <is>
          <t>HOSP-0578</t>
        </is>
      </c>
      <c r="B579" s="61" t="n">
        <v>45992</v>
      </c>
      <c r="C579" s="11" t="inlineStr">
        <is>
          <t>Site 06</t>
        </is>
      </c>
      <c r="D579" s="11" t="inlineStr">
        <is>
          <t>General Medicine</t>
        </is>
      </c>
      <c r="E579" s="13" t="n">
        <v>180</v>
      </c>
      <c r="F579" s="13" t="n">
        <v>177</v>
      </c>
      <c r="G579" s="13" t="n">
        <v>684</v>
      </c>
      <c r="H579" s="13" t="n">
        <v>744</v>
      </c>
      <c r="I579" s="14" t="n">
        <v>3.86</v>
      </c>
      <c r="J579" s="62" t="n">
        <v>9</v>
      </c>
      <c r="K579" s="13" t="n">
        <v>157</v>
      </c>
      <c r="L579" s="13" t="n">
        <v>7</v>
      </c>
    </row>
    <row r="580">
      <c r="A580" s="11" t="inlineStr">
        <is>
          <t>HOSP-0579</t>
        </is>
      </c>
      <c r="B580" s="61" t="n">
        <v>45992</v>
      </c>
      <c r="C580" s="11" t="inlineStr">
        <is>
          <t>Site 06</t>
        </is>
      </c>
      <c r="D580" s="11" t="inlineStr">
        <is>
          <t>Nephrology</t>
        </is>
      </c>
      <c r="E580" s="13" t="n">
        <v>71</v>
      </c>
      <c r="F580" s="13" t="n">
        <v>72</v>
      </c>
      <c r="G580" s="13" t="n">
        <v>551</v>
      </c>
      <c r="H580" s="13" t="n">
        <v>558</v>
      </c>
      <c r="I580" s="14" t="n">
        <v>7.65</v>
      </c>
      <c r="J580" s="62" t="n">
        <v>12.6</v>
      </c>
      <c r="K580" s="13" t="n">
        <v>65</v>
      </c>
      <c r="L580" s="13" t="n">
        <v>4</v>
      </c>
    </row>
    <row r="581">
      <c r="A581" s="11" t="inlineStr">
        <is>
          <t>HOSP-0580</t>
        </is>
      </c>
      <c r="B581" s="61" t="n">
        <v>45992</v>
      </c>
      <c r="C581" s="11" t="inlineStr">
        <is>
          <t>Site 06</t>
        </is>
      </c>
      <c r="D581" s="11" t="inlineStr">
        <is>
          <t>Paediatrics</t>
        </is>
      </c>
      <c r="E581" s="13" t="n">
        <v>103</v>
      </c>
      <c r="F581" s="13" t="n">
        <v>103</v>
      </c>
      <c r="G581" s="13" t="n">
        <v>317</v>
      </c>
      <c r="H581" s="13" t="n">
        <v>341</v>
      </c>
      <c r="I581" s="14" t="n">
        <v>3.08</v>
      </c>
      <c r="J581" s="62" t="n">
        <v>5.8</v>
      </c>
      <c r="K581" s="13" t="n">
        <v>91</v>
      </c>
      <c r="L581" s="13" t="n">
        <v>5</v>
      </c>
    </row>
    <row r="582">
      <c r="A582" s="11" t="inlineStr">
        <is>
          <t>HOSP-0581</t>
        </is>
      </c>
      <c r="B582" s="61" t="n">
        <v>45992</v>
      </c>
      <c r="C582" s="11" t="inlineStr">
        <is>
          <t>Site 07</t>
        </is>
      </c>
      <c r="D582" s="11" t="inlineStr">
        <is>
          <t>Cardiology</t>
        </is>
      </c>
      <c r="E582" s="13" t="n">
        <v>106</v>
      </c>
      <c r="F582" s="13" t="n">
        <v>102</v>
      </c>
      <c r="G582" s="13" t="n">
        <v>596</v>
      </c>
      <c r="H582" s="13" t="n">
        <v>682</v>
      </c>
      <c r="I582" s="14" t="n">
        <v>5.84</v>
      </c>
      <c r="J582" s="62" t="n">
        <v>9.1</v>
      </c>
      <c r="K582" s="13" t="n">
        <v>95</v>
      </c>
      <c r="L582" s="13" t="n">
        <v>7</v>
      </c>
    </row>
    <row r="583">
      <c r="A583" s="11" t="inlineStr">
        <is>
          <t>HOSP-0582</t>
        </is>
      </c>
      <c r="B583" s="61" t="n">
        <v>45992</v>
      </c>
      <c r="C583" s="11" t="inlineStr">
        <is>
          <t>Site 07</t>
        </is>
      </c>
      <c r="D583" s="11" t="inlineStr">
        <is>
          <t>Orthopaedics</t>
        </is>
      </c>
      <c r="E583" s="13" t="n">
        <v>87</v>
      </c>
      <c r="F583" s="13" t="n">
        <v>81</v>
      </c>
      <c r="G583" s="13" t="n">
        <v>542</v>
      </c>
      <c r="H583" s="13" t="n">
        <v>589</v>
      </c>
      <c r="I583" s="14" t="n">
        <v>6.69</v>
      </c>
      <c r="J583" s="62" t="n">
        <v>15.2</v>
      </c>
      <c r="K583" s="13" t="n">
        <v>70</v>
      </c>
      <c r="L583" s="13" t="n">
        <v>7</v>
      </c>
    </row>
    <row r="584">
      <c r="A584" s="11" t="inlineStr">
        <is>
          <t>HOSP-0583</t>
        </is>
      </c>
      <c r="B584" s="61" t="n">
        <v>45992</v>
      </c>
      <c r="C584" s="11" t="inlineStr">
        <is>
          <t>Site 07</t>
        </is>
      </c>
      <c r="D584" s="11" t="inlineStr">
        <is>
          <t>General Medicine</t>
        </is>
      </c>
      <c r="E584" s="13" t="n">
        <v>180</v>
      </c>
      <c r="F584" s="13" t="n">
        <v>175</v>
      </c>
      <c r="G584" s="13" t="n">
        <v>732</v>
      </c>
      <c r="H584" s="13" t="n">
        <v>744</v>
      </c>
      <c r="I584" s="14" t="n">
        <v>4.18</v>
      </c>
      <c r="J584" s="62" t="n">
        <v>8.199999999999999</v>
      </c>
      <c r="K584" s="13" t="n">
        <v>157</v>
      </c>
      <c r="L584" s="13" t="n">
        <v>10</v>
      </c>
    </row>
    <row r="585">
      <c r="A585" s="11" t="inlineStr">
        <is>
          <t>HOSP-0584</t>
        </is>
      </c>
      <c r="B585" s="61" t="n">
        <v>45992</v>
      </c>
      <c r="C585" s="11" t="inlineStr">
        <is>
          <t>Site 07</t>
        </is>
      </c>
      <c r="D585" s="11" t="inlineStr">
        <is>
          <t>Nephrology</t>
        </is>
      </c>
      <c r="E585" s="13" t="n">
        <v>58</v>
      </c>
      <c r="F585" s="13" t="n">
        <v>53</v>
      </c>
      <c r="G585" s="13" t="n">
        <v>391</v>
      </c>
      <c r="H585" s="13" t="n">
        <v>558</v>
      </c>
      <c r="I585" s="14" t="n">
        <v>7.38</v>
      </c>
      <c r="J585" s="62" t="n">
        <v>13.8</v>
      </c>
      <c r="K585" s="13" t="n">
        <v>47</v>
      </c>
      <c r="L585" s="13" t="n">
        <v>5</v>
      </c>
    </row>
    <row r="586">
      <c r="A586" s="11" t="inlineStr">
        <is>
          <t>HOSP-0585</t>
        </is>
      </c>
      <c r="B586" s="61" t="n">
        <v>45992</v>
      </c>
      <c r="C586" s="11" t="inlineStr">
        <is>
          <t>Site 07</t>
        </is>
      </c>
      <c r="D586" s="11" t="inlineStr">
        <is>
          <t>Paediatrics</t>
        </is>
      </c>
      <c r="E586" s="13" t="n">
        <v>95</v>
      </c>
      <c r="F586" s="13" t="n">
        <v>96</v>
      </c>
      <c r="G586" s="13" t="n">
        <v>324</v>
      </c>
      <c r="H586" s="13" t="n">
        <v>341</v>
      </c>
      <c r="I586" s="14" t="n">
        <v>3.38</v>
      </c>
      <c r="J586" s="62" t="n">
        <v>6.2</v>
      </c>
      <c r="K586" s="13" t="n">
        <v>83</v>
      </c>
      <c r="L586" s="13" t="n">
        <v>4</v>
      </c>
    </row>
    <row r="587">
      <c r="A587" s="11" t="inlineStr">
        <is>
          <t>HOSP-0586</t>
        </is>
      </c>
      <c r="B587" s="61" t="n">
        <v>45992</v>
      </c>
      <c r="C587" s="11" t="inlineStr">
        <is>
          <t>Site 08</t>
        </is>
      </c>
      <c r="D587" s="11" t="inlineStr">
        <is>
          <t>Cardiology</t>
        </is>
      </c>
      <c r="E587" s="13" t="n">
        <v>132</v>
      </c>
      <c r="F587" s="13" t="n">
        <v>128</v>
      </c>
      <c r="G587" s="13" t="n">
        <v>650</v>
      </c>
      <c r="H587" s="13" t="n">
        <v>682</v>
      </c>
      <c r="I587" s="14" t="n">
        <v>5.08</v>
      </c>
      <c r="J587" s="62" t="n">
        <v>10.1</v>
      </c>
      <c r="K587" s="13" t="n">
        <v>119</v>
      </c>
      <c r="L587" s="13" t="n">
        <v>8</v>
      </c>
    </row>
    <row r="588">
      <c r="A588" s="11" t="inlineStr">
        <is>
          <t>HOSP-0587</t>
        </is>
      </c>
      <c r="B588" s="61" t="n">
        <v>45992</v>
      </c>
      <c r="C588" s="11" t="inlineStr">
        <is>
          <t>Site 08</t>
        </is>
      </c>
      <c r="D588" s="11" t="inlineStr">
        <is>
          <t>Orthopaedics</t>
        </is>
      </c>
      <c r="E588" s="13" t="n">
        <v>87</v>
      </c>
      <c r="F588" s="13" t="n">
        <v>83</v>
      </c>
      <c r="G588" s="13" t="n">
        <v>506</v>
      </c>
      <c r="H588" s="13" t="n">
        <v>589</v>
      </c>
      <c r="I588" s="14" t="n">
        <v>6.1</v>
      </c>
      <c r="J588" s="62" t="n">
        <v>14.7</v>
      </c>
      <c r="K588" s="13" t="n">
        <v>72</v>
      </c>
      <c r="L588" s="13" t="n">
        <v>9</v>
      </c>
    </row>
    <row r="589">
      <c r="A589" s="11" t="inlineStr">
        <is>
          <t>HOSP-0588</t>
        </is>
      </c>
      <c r="B589" s="61" t="n">
        <v>45992</v>
      </c>
      <c r="C589" s="11" t="inlineStr">
        <is>
          <t>Site 08</t>
        </is>
      </c>
      <c r="D589" s="11" t="inlineStr">
        <is>
          <t>General Medicine</t>
        </is>
      </c>
      <c r="E589" s="13" t="n">
        <v>166</v>
      </c>
      <c r="F589" s="13" t="n">
        <v>164</v>
      </c>
      <c r="G589" s="13" t="n">
        <v>642</v>
      </c>
      <c r="H589" s="13" t="n">
        <v>744</v>
      </c>
      <c r="I589" s="14" t="n">
        <v>3.91</v>
      </c>
      <c r="J589" s="62" t="n">
        <v>9</v>
      </c>
      <c r="K589" s="13" t="n">
        <v>151</v>
      </c>
      <c r="L589" s="13" t="n">
        <v>9</v>
      </c>
    </row>
    <row r="590">
      <c r="A590" s="11" t="inlineStr">
        <is>
          <t>HOSP-0589</t>
        </is>
      </c>
      <c r="B590" s="61" t="n">
        <v>45992</v>
      </c>
      <c r="C590" s="11" t="inlineStr">
        <is>
          <t>Site 08</t>
        </is>
      </c>
      <c r="D590" s="11" t="inlineStr">
        <is>
          <t>Nephrology</t>
        </is>
      </c>
      <c r="E590" s="13" t="n">
        <v>60</v>
      </c>
      <c r="F590" s="13" t="n">
        <v>60</v>
      </c>
      <c r="G590" s="13" t="n">
        <v>449</v>
      </c>
      <c r="H590" s="13" t="n">
        <v>558</v>
      </c>
      <c r="I590" s="14" t="n">
        <v>7.48</v>
      </c>
      <c r="J590" s="62" t="n">
        <v>13.9</v>
      </c>
      <c r="K590" s="13" t="n">
        <v>54</v>
      </c>
      <c r="L590" s="13" t="n">
        <v>4</v>
      </c>
    </row>
    <row r="591">
      <c r="A591" s="11" t="inlineStr">
        <is>
          <t>HOSP-0590</t>
        </is>
      </c>
      <c r="B591" s="61" t="n">
        <v>45992</v>
      </c>
      <c r="C591" s="11" t="inlineStr">
        <is>
          <t>Site 08</t>
        </is>
      </c>
      <c r="D591" s="11" t="inlineStr">
        <is>
          <t>Paediatrics</t>
        </is>
      </c>
      <c r="E591" s="13" t="n">
        <v>93</v>
      </c>
      <c r="F591" s="13" t="n">
        <v>88</v>
      </c>
      <c r="G591" s="13" t="n">
        <v>310</v>
      </c>
      <c r="H591" s="13" t="n">
        <v>341</v>
      </c>
      <c r="I591" s="14" t="n">
        <v>3.52</v>
      </c>
      <c r="J591" s="62" t="n">
        <v>7.1</v>
      </c>
      <c r="K591" s="13" t="n">
        <v>80</v>
      </c>
      <c r="L591" s="13" t="n">
        <v>5</v>
      </c>
    </row>
    <row r="592">
      <c r="A592" s="11" t="inlineStr">
        <is>
          <t>HOSP-0591</t>
        </is>
      </c>
      <c r="B592" s="61" t="n">
        <v>45992</v>
      </c>
      <c r="C592" s="11" t="inlineStr">
        <is>
          <t>Site 09</t>
        </is>
      </c>
      <c r="D592" s="11" t="inlineStr">
        <is>
          <t>Cardiology</t>
        </is>
      </c>
      <c r="E592" s="13" t="n">
        <v>92</v>
      </c>
      <c r="F592" s="13" t="n">
        <v>89</v>
      </c>
      <c r="G592" s="13" t="n">
        <v>438</v>
      </c>
      <c r="H592" s="13" t="n">
        <v>682</v>
      </c>
      <c r="I592" s="14" t="n">
        <v>4.92</v>
      </c>
      <c r="J592" s="62" t="n">
        <v>11.9</v>
      </c>
      <c r="K592" s="13" t="n">
        <v>79</v>
      </c>
      <c r="L592" s="13" t="n">
        <v>5</v>
      </c>
    </row>
    <row r="593">
      <c r="A593" s="11" t="inlineStr">
        <is>
          <t>HOSP-0592</t>
        </is>
      </c>
      <c r="B593" s="61" t="n">
        <v>45992</v>
      </c>
      <c r="C593" s="11" t="inlineStr">
        <is>
          <t>Site 09</t>
        </is>
      </c>
      <c r="D593" s="11" t="inlineStr">
        <is>
          <t>Orthopaedics</t>
        </is>
      </c>
      <c r="E593" s="13" t="n">
        <v>68</v>
      </c>
      <c r="F593" s="13" t="n">
        <v>69</v>
      </c>
      <c r="G593" s="13" t="n">
        <v>441</v>
      </c>
      <c r="H593" s="13" t="n">
        <v>589</v>
      </c>
      <c r="I593" s="14" t="n">
        <v>6.39</v>
      </c>
      <c r="J593" s="62" t="n">
        <v>13.2</v>
      </c>
      <c r="K593" s="13" t="n">
        <v>64</v>
      </c>
      <c r="L593" s="13" t="n">
        <v>7</v>
      </c>
    </row>
    <row r="594">
      <c r="A594" s="11" t="inlineStr">
        <is>
          <t>HOSP-0593</t>
        </is>
      </c>
      <c r="B594" s="61" t="n">
        <v>45992</v>
      </c>
      <c r="C594" s="11" t="inlineStr">
        <is>
          <t>Site 09</t>
        </is>
      </c>
      <c r="D594" s="11" t="inlineStr">
        <is>
          <t>General Medicine</t>
        </is>
      </c>
      <c r="E594" s="13" t="n">
        <v>145</v>
      </c>
      <c r="F594" s="13" t="n">
        <v>139</v>
      </c>
      <c r="G594" s="13" t="n">
        <v>571</v>
      </c>
      <c r="H594" s="13" t="n">
        <v>744</v>
      </c>
      <c r="I594" s="14" t="n">
        <v>4.11</v>
      </c>
      <c r="J594" s="62" t="n">
        <v>7.6</v>
      </c>
      <c r="K594" s="13" t="n">
        <v>120</v>
      </c>
      <c r="L594" s="13" t="n">
        <v>8</v>
      </c>
    </row>
    <row r="595">
      <c r="A595" s="11" t="inlineStr">
        <is>
          <t>HOSP-0594</t>
        </is>
      </c>
      <c r="B595" s="61" t="n">
        <v>45992</v>
      </c>
      <c r="C595" s="11" t="inlineStr">
        <is>
          <t>Site 09</t>
        </is>
      </c>
      <c r="D595" s="11" t="inlineStr">
        <is>
          <t>Nephrology</t>
        </is>
      </c>
      <c r="E595" s="13" t="n">
        <v>58</v>
      </c>
      <c r="F595" s="13" t="n">
        <v>54</v>
      </c>
      <c r="G595" s="13" t="n">
        <v>458</v>
      </c>
      <c r="H595" s="13" t="n">
        <v>558</v>
      </c>
      <c r="I595" s="14" t="n">
        <v>8.48</v>
      </c>
      <c r="J595" s="62" t="n">
        <v>14</v>
      </c>
      <c r="K595" s="13" t="n">
        <v>50</v>
      </c>
      <c r="L595" s="13" t="n">
        <v>5</v>
      </c>
    </row>
    <row r="596">
      <c r="A596" s="11" t="inlineStr">
        <is>
          <t>HOSP-0595</t>
        </is>
      </c>
      <c r="B596" s="61" t="n">
        <v>45992</v>
      </c>
      <c r="C596" s="11" t="inlineStr">
        <is>
          <t>Site 09</t>
        </is>
      </c>
      <c r="D596" s="11" t="inlineStr">
        <is>
          <t>Paediatrics</t>
        </is>
      </c>
      <c r="E596" s="13" t="n">
        <v>81</v>
      </c>
      <c r="F596" s="13" t="n">
        <v>81</v>
      </c>
      <c r="G596" s="13" t="n">
        <v>243</v>
      </c>
      <c r="H596" s="13" t="n">
        <v>341</v>
      </c>
      <c r="I596" s="14" t="n">
        <v>3</v>
      </c>
      <c r="J596" s="62" t="n">
        <v>6.2</v>
      </c>
      <c r="K596" s="13" t="n">
        <v>76</v>
      </c>
      <c r="L596" s="13" t="n">
        <v>4</v>
      </c>
    </row>
    <row r="597">
      <c r="A597" s="11" t="inlineStr">
        <is>
          <t>HOSP-0596</t>
        </is>
      </c>
      <c r="B597" s="61" t="n">
        <v>45992</v>
      </c>
      <c r="C597" s="11" t="inlineStr">
        <is>
          <t>Site 10</t>
        </is>
      </c>
      <c r="D597" s="11" t="inlineStr">
        <is>
          <t>Cardiology</t>
        </is>
      </c>
      <c r="E597" s="13" t="n">
        <v>106</v>
      </c>
      <c r="F597" s="13" t="n">
        <v>102</v>
      </c>
      <c r="G597" s="13" t="n">
        <v>551</v>
      </c>
      <c r="H597" s="13" t="n">
        <v>682</v>
      </c>
      <c r="I597" s="14" t="n">
        <v>5.4</v>
      </c>
      <c r="J597" s="62" t="n">
        <v>11.9</v>
      </c>
      <c r="K597" s="13" t="n">
        <v>96</v>
      </c>
      <c r="L597" s="13" t="n">
        <v>7</v>
      </c>
    </row>
    <row r="598">
      <c r="A598" s="11" t="inlineStr">
        <is>
          <t>HOSP-0597</t>
        </is>
      </c>
      <c r="B598" s="61" t="n">
        <v>45992</v>
      </c>
      <c r="C598" s="11" t="inlineStr">
        <is>
          <t>Site 10</t>
        </is>
      </c>
      <c r="D598" s="11" t="inlineStr">
        <is>
          <t>Orthopaedics</t>
        </is>
      </c>
      <c r="E598" s="13" t="n">
        <v>73</v>
      </c>
      <c r="F598" s="13" t="n">
        <v>78</v>
      </c>
      <c r="G598" s="13" t="n">
        <v>513</v>
      </c>
      <c r="H598" s="13" t="n">
        <v>589</v>
      </c>
      <c r="I598" s="14" t="n">
        <v>6.58</v>
      </c>
      <c r="J598" s="62" t="n">
        <v>11.3</v>
      </c>
      <c r="K598" s="13" t="n">
        <v>71</v>
      </c>
      <c r="L598" s="13" t="n">
        <v>10</v>
      </c>
    </row>
    <row r="599">
      <c r="A599" s="11" t="inlineStr">
        <is>
          <t>HOSP-0598</t>
        </is>
      </c>
      <c r="B599" s="61" t="n">
        <v>45992</v>
      </c>
      <c r="C599" s="11" t="inlineStr">
        <is>
          <t>Site 10</t>
        </is>
      </c>
      <c r="D599" s="11" t="inlineStr">
        <is>
          <t>General Medicine</t>
        </is>
      </c>
      <c r="E599" s="13" t="n">
        <v>162</v>
      </c>
      <c r="F599" s="13" t="n">
        <v>168</v>
      </c>
      <c r="G599" s="13" t="n">
        <v>730</v>
      </c>
      <c r="H599" s="13" t="n">
        <v>744</v>
      </c>
      <c r="I599" s="14" t="n">
        <v>4.35</v>
      </c>
      <c r="J599" s="62" t="n">
        <v>8.300000000000001</v>
      </c>
      <c r="K599" s="13" t="n">
        <v>157</v>
      </c>
      <c r="L599" s="13" t="n">
        <v>10</v>
      </c>
    </row>
    <row r="600">
      <c r="A600" s="11" t="inlineStr">
        <is>
          <t>HOSP-0599</t>
        </is>
      </c>
      <c r="B600" s="61" t="n">
        <v>45992</v>
      </c>
      <c r="C600" s="11" t="inlineStr">
        <is>
          <t>Site 10</t>
        </is>
      </c>
      <c r="D600" s="11" t="inlineStr">
        <is>
          <t>Nephrology</t>
        </is>
      </c>
      <c r="E600" s="13" t="n">
        <v>54</v>
      </c>
      <c r="F600" s="13" t="n">
        <v>53</v>
      </c>
      <c r="G600" s="13" t="n">
        <v>426</v>
      </c>
      <c r="H600" s="13" t="n">
        <v>558</v>
      </c>
      <c r="I600" s="14" t="n">
        <v>8.039999999999999</v>
      </c>
      <c r="J600" s="62" t="n">
        <v>12.4</v>
      </c>
      <c r="K600" s="13" t="n">
        <v>46</v>
      </c>
      <c r="L600" s="13" t="n">
        <v>4</v>
      </c>
    </row>
    <row r="601">
      <c r="A601" s="11" t="inlineStr">
        <is>
          <t>HOSP-0600</t>
        </is>
      </c>
      <c r="B601" s="61" t="n">
        <v>45992</v>
      </c>
      <c r="C601" s="11" t="inlineStr">
        <is>
          <t>Site 10</t>
        </is>
      </c>
      <c r="D601" s="11" t="inlineStr">
        <is>
          <t>Paediatrics</t>
        </is>
      </c>
      <c r="E601" s="13" t="n">
        <v>87</v>
      </c>
      <c r="F601" s="13" t="n">
        <v>87</v>
      </c>
      <c r="G601" s="13" t="n">
        <v>273</v>
      </c>
      <c r="H601" s="13" t="n">
        <v>341</v>
      </c>
      <c r="I601" s="14" t="n">
        <v>3.14</v>
      </c>
      <c r="J601" s="62" t="n">
        <v>6.3</v>
      </c>
      <c r="K601" s="13" t="n">
        <v>77</v>
      </c>
      <c r="L601" s="13" t="n">
        <v>3</v>
      </c>
    </row>
  </sheetData>
  <autoFilter ref="A1:L60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5" customWidth="1" min="4" max="4"/>
    <col width="12" customWidth="1" min="5" max="5"/>
    <col width="17" customWidth="1" min="6" max="6"/>
    <col width="26" customWidth="1" min="7" max="7"/>
    <col width="16" customWidth="1" min="8" max="8"/>
    <col width="100" customWidth="1" min="10" max="10"/>
  </cols>
  <sheetData>
    <row r="1">
      <c r="A1" s="10" t="inlineStr">
        <is>
          <t>Record ID</t>
        </is>
      </c>
      <c r="B1" s="10" t="inlineStr">
        <is>
          <t>Month</t>
        </is>
      </c>
      <c r="C1" s="10" t="inlineStr">
        <is>
          <t>Department</t>
        </is>
      </c>
      <c r="D1" s="10" t="inlineStr">
        <is>
          <t>Occupancy Rate</t>
        </is>
      </c>
      <c r="E1" s="10" t="inlineStr">
        <is>
          <t>Denial Rate</t>
        </is>
      </c>
      <c r="F1" s="10" t="inlineStr">
        <is>
          <t>Discharge Variance</t>
        </is>
      </c>
      <c r="G1" s="10" t="inlineStr">
        <is>
          <t>LOS check (bed days / discharges)</t>
        </is>
      </c>
      <c r="H1" s="10" t="inlineStr">
        <is>
          <t>LOS matches Data?</t>
        </is>
      </c>
      <c r="I1" s="1" t="n"/>
      <c r="J1" s="16" t="inlineStr">
        <is>
          <t>Formulas (row 2 shown as text):</t>
        </is>
      </c>
    </row>
    <row r="2">
      <c r="A2" s="17">
        <f>Data!A2</f>
        <v/>
      </c>
      <c r="B2" s="63">
        <f>Data!B2</f>
        <v/>
      </c>
      <c r="C2" s="17">
        <f>Data!D2</f>
        <v/>
      </c>
      <c r="D2" s="64">
        <f>IFERROR(Data!G2/Data!H2,0)</f>
        <v/>
      </c>
      <c r="E2" s="64">
        <f>IFERROR(Data!L2/Data!K2,0)</f>
        <v/>
      </c>
      <c r="F2" s="65">
        <f>Data!F2-Data!E2</f>
        <v/>
      </c>
      <c r="G2" s="21">
        <f>IFERROR(Data!G2/Data!F2,0)</f>
        <v/>
      </c>
      <c r="H2" s="22">
        <f>IF(ABS(G2-Data!I2)&lt;Summary!$B$4,"OK","CHECK")</f>
        <v/>
      </c>
      <c r="I2" s="1" t="n"/>
      <c r="J2" s="23" t="inlineStr">
        <is>
          <t>Occupancy = IFERROR(Data!G2 / Data!H2, 0)   bed days used / bed days available</t>
        </is>
      </c>
    </row>
    <row r="3">
      <c r="A3" s="17">
        <f>Data!A3</f>
        <v/>
      </c>
      <c r="B3" s="63">
        <f>Data!B3</f>
        <v/>
      </c>
      <c r="C3" s="17">
        <f>Data!D3</f>
        <v/>
      </c>
      <c r="D3" s="64">
        <f>IFERROR(Data!G3/Data!H3,0)</f>
        <v/>
      </c>
      <c r="E3" s="64">
        <f>IFERROR(Data!L3/Data!K3,0)</f>
        <v/>
      </c>
      <c r="F3" s="65">
        <f>Data!F3-Data!E3</f>
        <v/>
      </c>
      <c r="G3" s="21">
        <f>IFERROR(Data!G3/Data!F3,0)</f>
        <v/>
      </c>
      <c r="H3" s="22">
        <f>IF(ABS(G3-Data!I3)&lt;Summary!$B$4,"OK","CHECK")</f>
        <v/>
      </c>
      <c r="I3" s="1" t="n"/>
      <c r="J3" s="23" t="inlineStr">
        <is>
          <t>Denial rate = IFERROR(Data!L2 / Data!K2, 0)   claims denied / claims submitted</t>
        </is>
      </c>
    </row>
    <row r="4">
      <c r="A4" s="17">
        <f>Data!A4</f>
        <v/>
      </c>
      <c r="B4" s="63">
        <f>Data!B4</f>
        <v/>
      </c>
      <c r="C4" s="17">
        <f>Data!D4</f>
        <v/>
      </c>
      <c r="D4" s="64">
        <f>IFERROR(Data!G4/Data!H4,0)</f>
        <v/>
      </c>
      <c r="E4" s="64">
        <f>IFERROR(Data!L4/Data!K4,0)</f>
        <v/>
      </c>
      <c r="F4" s="65">
        <f>Data!F4-Data!E4</f>
        <v/>
      </c>
      <c r="G4" s="21">
        <f>IFERROR(Data!G4/Data!F4,0)</f>
        <v/>
      </c>
      <c r="H4" s="22">
        <f>IF(ABS(G4-Data!I4)&lt;Summary!$B$4,"OK","CHECK")</f>
        <v/>
      </c>
      <c r="I4" s="1" t="n"/>
      <c r="J4" s="23" t="inlineStr">
        <is>
          <t>Discharge variance = Data!F2 - Data!E2   discharges minus admissions</t>
        </is>
      </c>
    </row>
    <row r="5">
      <c r="A5" s="17">
        <f>Data!A5</f>
        <v/>
      </c>
      <c r="B5" s="63">
        <f>Data!B5</f>
        <v/>
      </c>
      <c r="C5" s="17">
        <f>Data!D5</f>
        <v/>
      </c>
      <c r="D5" s="64">
        <f>IFERROR(Data!G5/Data!H5,0)</f>
        <v/>
      </c>
      <c r="E5" s="64">
        <f>IFERROR(Data!L5/Data!K5,0)</f>
        <v/>
      </c>
      <c r="F5" s="65">
        <f>Data!F5-Data!E5</f>
        <v/>
      </c>
      <c r="G5" s="21">
        <f>IFERROR(Data!G5/Data!F5,0)</f>
        <v/>
      </c>
      <c r="H5" s="22">
        <f>IF(ABS(G5-Data!I5)&lt;Summary!$B$4,"OK","CHECK")</f>
        <v/>
      </c>
      <c r="I5" s="1" t="n"/>
      <c r="J5" s="23" t="inlineStr">
        <is>
          <t>LOS check = IFERROR(Data!G2 / Data!F2, 0)   recomputes LOS from bed days; column H flags any row where it drifts from the stored LOS by more than the tolerance on Summary!B4</t>
        </is>
      </c>
    </row>
    <row r="6">
      <c r="A6" s="17">
        <f>Data!A6</f>
        <v/>
      </c>
      <c r="B6" s="63">
        <f>Data!B6</f>
        <v/>
      </c>
      <c r="C6" s="17">
        <f>Data!D6</f>
        <v/>
      </c>
      <c r="D6" s="64">
        <f>IFERROR(Data!G6/Data!H6,0)</f>
        <v/>
      </c>
      <c r="E6" s="64">
        <f>IFERROR(Data!L6/Data!K6,0)</f>
        <v/>
      </c>
      <c r="F6" s="65">
        <f>Data!F6-Data!E6</f>
        <v/>
      </c>
      <c r="G6" s="21">
        <f>IFERROR(Data!G6/Data!F6,0)</f>
        <v/>
      </c>
      <c r="H6" s="22">
        <f>IF(ABS(G6-Data!I6)&lt;Summary!$B$4,"OK","CHECK")</f>
        <v/>
      </c>
      <c r="I6" s="1" t="n"/>
      <c r="J6" s="1" t="n"/>
    </row>
    <row r="7">
      <c r="A7" s="17">
        <f>Data!A7</f>
        <v/>
      </c>
      <c r="B7" s="63">
        <f>Data!B7</f>
        <v/>
      </c>
      <c r="C7" s="17">
        <f>Data!D7</f>
        <v/>
      </c>
      <c r="D7" s="64">
        <f>IFERROR(Data!G7/Data!H7,0)</f>
        <v/>
      </c>
      <c r="E7" s="64">
        <f>IFERROR(Data!L7/Data!K7,0)</f>
        <v/>
      </c>
      <c r="F7" s="65">
        <f>Data!F7-Data!E7</f>
        <v/>
      </c>
      <c r="G7" s="21">
        <f>IFERROR(Data!G7/Data!F7,0)</f>
        <v/>
      </c>
      <c r="H7" s="22">
        <f>IF(ABS(G7-Data!I7)&lt;Summary!$B$4,"OK","CHECK")</f>
        <v/>
      </c>
      <c r="I7" s="1" t="n"/>
      <c r="J7" s="1" t="n"/>
    </row>
    <row r="8">
      <c r="A8" s="17">
        <f>Data!A8</f>
        <v/>
      </c>
      <c r="B8" s="63">
        <f>Data!B8</f>
        <v/>
      </c>
      <c r="C8" s="17">
        <f>Data!D8</f>
        <v/>
      </c>
      <c r="D8" s="64">
        <f>IFERROR(Data!G8/Data!H8,0)</f>
        <v/>
      </c>
      <c r="E8" s="64">
        <f>IFERROR(Data!L8/Data!K8,0)</f>
        <v/>
      </c>
      <c r="F8" s="65">
        <f>Data!F8-Data!E8</f>
        <v/>
      </c>
      <c r="G8" s="21">
        <f>IFERROR(Data!G8/Data!F8,0)</f>
        <v/>
      </c>
      <c r="H8" s="22">
        <f>IF(ABS(G8-Data!I8)&lt;Summary!$B$4,"OK","CHECK")</f>
        <v/>
      </c>
      <c r="I8" s="1" t="n"/>
      <c r="J8" s="1" t="n"/>
    </row>
    <row r="9">
      <c r="A9" s="17">
        <f>Data!A9</f>
        <v/>
      </c>
      <c r="B9" s="63">
        <f>Data!B9</f>
        <v/>
      </c>
      <c r="C9" s="17">
        <f>Data!D9</f>
        <v/>
      </c>
      <c r="D9" s="64">
        <f>IFERROR(Data!G9/Data!H9,0)</f>
        <v/>
      </c>
      <c r="E9" s="64">
        <f>IFERROR(Data!L9/Data!K9,0)</f>
        <v/>
      </c>
      <c r="F9" s="65">
        <f>Data!F9-Data!E9</f>
        <v/>
      </c>
      <c r="G9" s="21">
        <f>IFERROR(Data!G9/Data!F9,0)</f>
        <v/>
      </c>
      <c r="H9" s="22">
        <f>IF(ABS(G9-Data!I9)&lt;Summary!$B$4,"OK","CHECK")</f>
        <v/>
      </c>
      <c r="I9" s="1" t="n"/>
      <c r="J9" s="1" t="n"/>
    </row>
    <row r="10">
      <c r="A10" s="17">
        <f>Data!A10</f>
        <v/>
      </c>
      <c r="B10" s="63">
        <f>Data!B10</f>
        <v/>
      </c>
      <c r="C10" s="17">
        <f>Data!D10</f>
        <v/>
      </c>
      <c r="D10" s="64">
        <f>IFERROR(Data!G10/Data!H10,0)</f>
        <v/>
      </c>
      <c r="E10" s="64">
        <f>IFERROR(Data!L10/Data!K10,0)</f>
        <v/>
      </c>
      <c r="F10" s="65">
        <f>Data!F10-Data!E10</f>
        <v/>
      </c>
      <c r="G10" s="21">
        <f>IFERROR(Data!G10/Data!F10,0)</f>
        <v/>
      </c>
      <c r="H10" s="22">
        <f>IF(ABS(G10-Data!I10)&lt;Summary!$B$4,"OK","CHECK")</f>
        <v/>
      </c>
      <c r="I10" s="1" t="n"/>
      <c r="J10" s="1" t="n"/>
    </row>
    <row r="11">
      <c r="A11" s="17">
        <f>Data!A11</f>
        <v/>
      </c>
      <c r="B11" s="63">
        <f>Data!B11</f>
        <v/>
      </c>
      <c r="C11" s="17">
        <f>Data!D11</f>
        <v/>
      </c>
      <c r="D11" s="64">
        <f>IFERROR(Data!G11/Data!H11,0)</f>
        <v/>
      </c>
      <c r="E11" s="64">
        <f>IFERROR(Data!L11/Data!K11,0)</f>
        <v/>
      </c>
      <c r="F11" s="65">
        <f>Data!F11-Data!E11</f>
        <v/>
      </c>
      <c r="G11" s="21">
        <f>IFERROR(Data!G11/Data!F11,0)</f>
        <v/>
      </c>
      <c r="H11" s="22">
        <f>IF(ABS(G11-Data!I11)&lt;Summary!$B$4,"OK","CHECK")</f>
        <v/>
      </c>
      <c r="I11" s="1" t="n"/>
      <c r="J11" s="1" t="n"/>
    </row>
    <row r="12">
      <c r="A12" s="17">
        <f>Data!A12</f>
        <v/>
      </c>
      <c r="B12" s="63">
        <f>Data!B12</f>
        <v/>
      </c>
      <c r="C12" s="17">
        <f>Data!D12</f>
        <v/>
      </c>
      <c r="D12" s="64">
        <f>IFERROR(Data!G12/Data!H12,0)</f>
        <v/>
      </c>
      <c r="E12" s="64">
        <f>IFERROR(Data!L12/Data!K12,0)</f>
        <v/>
      </c>
      <c r="F12" s="65">
        <f>Data!F12-Data!E12</f>
        <v/>
      </c>
      <c r="G12" s="21">
        <f>IFERROR(Data!G12/Data!F12,0)</f>
        <v/>
      </c>
      <c r="H12" s="22">
        <f>IF(ABS(G12-Data!I12)&lt;Summary!$B$4,"OK","CHECK")</f>
        <v/>
      </c>
      <c r="I12" s="1" t="n"/>
      <c r="J12" s="1" t="n"/>
    </row>
    <row r="13">
      <c r="A13" s="17">
        <f>Data!A13</f>
        <v/>
      </c>
      <c r="B13" s="63">
        <f>Data!B13</f>
        <v/>
      </c>
      <c r="C13" s="17">
        <f>Data!D13</f>
        <v/>
      </c>
      <c r="D13" s="64">
        <f>IFERROR(Data!G13/Data!H13,0)</f>
        <v/>
      </c>
      <c r="E13" s="64">
        <f>IFERROR(Data!L13/Data!K13,0)</f>
        <v/>
      </c>
      <c r="F13" s="65">
        <f>Data!F13-Data!E13</f>
        <v/>
      </c>
      <c r="G13" s="21">
        <f>IFERROR(Data!G13/Data!F13,0)</f>
        <v/>
      </c>
      <c r="H13" s="22">
        <f>IF(ABS(G13-Data!I13)&lt;Summary!$B$4,"OK","CHECK")</f>
        <v/>
      </c>
      <c r="I13" s="1" t="n"/>
      <c r="J13" s="1" t="n"/>
    </row>
    <row r="14">
      <c r="A14" s="17">
        <f>Data!A14</f>
        <v/>
      </c>
      <c r="B14" s="63">
        <f>Data!B14</f>
        <v/>
      </c>
      <c r="C14" s="17">
        <f>Data!D14</f>
        <v/>
      </c>
      <c r="D14" s="64">
        <f>IFERROR(Data!G14/Data!H14,0)</f>
        <v/>
      </c>
      <c r="E14" s="64">
        <f>IFERROR(Data!L14/Data!K14,0)</f>
        <v/>
      </c>
      <c r="F14" s="65">
        <f>Data!F14-Data!E14</f>
        <v/>
      </c>
      <c r="G14" s="21">
        <f>IFERROR(Data!G14/Data!F14,0)</f>
        <v/>
      </c>
      <c r="H14" s="22">
        <f>IF(ABS(G14-Data!I14)&lt;Summary!$B$4,"OK","CHECK")</f>
        <v/>
      </c>
      <c r="I14" s="1" t="n"/>
      <c r="J14" s="1" t="n"/>
    </row>
    <row r="15">
      <c r="A15" s="17">
        <f>Data!A15</f>
        <v/>
      </c>
      <c r="B15" s="63">
        <f>Data!B15</f>
        <v/>
      </c>
      <c r="C15" s="17">
        <f>Data!D15</f>
        <v/>
      </c>
      <c r="D15" s="64">
        <f>IFERROR(Data!G15/Data!H15,0)</f>
        <v/>
      </c>
      <c r="E15" s="64">
        <f>IFERROR(Data!L15/Data!K15,0)</f>
        <v/>
      </c>
      <c r="F15" s="65">
        <f>Data!F15-Data!E15</f>
        <v/>
      </c>
      <c r="G15" s="21">
        <f>IFERROR(Data!G15/Data!F15,0)</f>
        <v/>
      </c>
      <c r="H15" s="22">
        <f>IF(ABS(G15-Data!I15)&lt;Summary!$B$4,"OK","CHECK")</f>
        <v/>
      </c>
      <c r="I15" s="1" t="n"/>
      <c r="J15" s="1" t="n"/>
    </row>
    <row r="16">
      <c r="A16" s="17">
        <f>Data!A16</f>
        <v/>
      </c>
      <c r="B16" s="63">
        <f>Data!B16</f>
        <v/>
      </c>
      <c r="C16" s="17">
        <f>Data!D16</f>
        <v/>
      </c>
      <c r="D16" s="64">
        <f>IFERROR(Data!G16/Data!H16,0)</f>
        <v/>
      </c>
      <c r="E16" s="64">
        <f>IFERROR(Data!L16/Data!K16,0)</f>
        <v/>
      </c>
      <c r="F16" s="65">
        <f>Data!F16-Data!E16</f>
        <v/>
      </c>
      <c r="G16" s="21">
        <f>IFERROR(Data!G16/Data!F16,0)</f>
        <v/>
      </c>
      <c r="H16" s="22">
        <f>IF(ABS(G16-Data!I16)&lt;Summary!$B$4,"OK","CHECK")</f>
        <v/>
      </c>
      <c r="I16" s="1" t="n"/>
      <c r="J16" s="1" t="n"/>
    </row>
    <row r="17">
      <c r="A17" s="17">
        <f>Data!A17</f>
        <v/>
      </c>
      <c r="B17" s="63">
        <f>Data!B17</f>
        <v/>
      </c>
      <c r="C17" s="17">
        <f>Data!D17</f>
        <v/>
      </c>
      <c r="D17" s="64">
        <f>IFERROR(Data!G17/Data!H17,0)</f>
        <v/>
      </c>
      <c r="E17" s="64">
        <f>IFERROR(Data!L17/Data!K17,0)</f>
        <v/>
      </c>
      <c r="F17" s="65">
        <f>Data!F17-Data!E17</f>
        <v/>
      </c>
      <c r="G17" s="21">
        <f>IFERROR(Data!G17/Data!F17,0)</f>
        <v/>
      </c>
      <c r="H17" s="22">
        <f>IF(ABS(G17-Data!I17)&lt;Summary!$B$4,"OK","CHECK")</f>
        <v/>
      </c>
      <c r="I17" s="1" t="n"/>
      <c r="J17" s="1" t="n"/>
    </row>
    <row r="18">
      <c r="A18" s="17">
        <f>Data!A18</f>
        <v/>
      </c>
      <c r="B18" s="63">
        <f>Data!B18</f>
        <v/>
      </c>
      <c r="C18" s="17">
        <f>Data!D18</f>
        <v/>
      </c>
      <c r="D18" s="64">
        <f>IFERROR(Data!G18/Data!H18,0)</f>
        <v/>
      </c>
      <c r="E18" s="64">
        <f>IFERROR(Data!L18/Data!K18,0)</f>
        <v/>
      </c>
      <c r="F18" s="65">
        <f>Data!F18-Data!E18</f>
        <v/>
      </c>
      <c r="G18" s="21">
        <f>IFERROR(Data!G18/Data!F18,0)</f>
        <v/>
      </c>
      <c r="H18" s="22">
        <f>IF(ABS(G18-Data!I18)&lt;Summary!$B$4,"OK","CHECK")</f>
        <v/>
      </c>
      <c r="I18" s="1" t="n"/>
      <c r="J18" s="1" t="n"/>
    </row>
    <row r="19">
      <c r="A19" s="17">
        <f>Data!A19</f>
        <v/>
      </c>
      <c r="B19" s="63">
        <f>Data!B19</f>
        <v/>
      </c>
      <c r="C19" s="17">
        <f>Data!D19</f>
        <v/>
      </c>
      <c r="D19" s="64">
        <f>IFERROR(Data!G19/Data!H19,0)</f>
        <v/>
      </c>
      <c r="E19" s="64">
        <f>IFERROR(Data!L19/Data!K19,0)</f>
        <v/>
      </c>
      <c r="F19" s="65">
        <f>Data!F19-Data!E19</f>
        <v/>
      </c>
      <c r="G19" s="21">
        <f>IFERROR(Data!G19/Data!F19,0)</f>
        <v/>
      </c>
      <c r="H19" s="22">
        <f>IF(ABS(G19-Data!I19)&lt;Summary!$B$4,"OK","CHECK")</f>
        <v/>
      </c>
      <c r="I19" s="1" t="n"/>
      <c r="J19" s="1" t="n"/>
    </row>
    <row r="20">
      <c r="A20" s="17">
        <f>Data!A20</f>
        <v/>
      </c>
      <c r="B20" s="63">
        <f>Data!B20</f>
        <v/>
      </c>
      <c r="C20" s="17">
        <f>Data!D20</f>
        <v/>
      </c>
      <c r="D20" s="64">
        <f>IFERROR(Data!G20/Data!H20,0)</f>
        <v/>
      </c>
      <c r="E20" s="64">
        <f>IFERROR(Data!L20/Data!K20,0)</f>
        <v/>
      </c>
      <c r="F20" s="65">
        <f>Data!F20-Data!E20</f>
        <v/>
      </c>
      <c r="G20" s="21">
        <f>IFERROR(Data!G20/Data!F20,0)</f>
        <v/>
      </c>
      <c r="H20" s="22">
        <f>IF(ABS(G20-Data!I20)&lt;Summary!$B$4,"OK","CHECK")</f>
        <v/>
      </c>
      <c r="I20" s="1" t="n"/>
      <c r="J20" s="1" t="n"/>
    </row>
    <row r="21">
      <c r="A21" s="17">
        <f>Data!A21</f>
        <v/>
      </c>
      <c r="B21" s="63">
        <f>Data!B21</f>
        <v/>
      </c>
      <c r="C21" s="17">
        <f>Data!D21</f>
        <v/>
      </c>
      <c r="D21" s="64">
        <f>IFERROR(Data!G21/Data!H21,0)</f>
        <v/>
      </c>
      <c r="E21" s="64">
        <f>IFERROR(Data!L21/Data!K21,0)</f>
        <v/>
      </c>
      <c r="F21" s="65">
        <f>Data!F21-Data!E21</f>
        <v/>
      </c>
      <c r="G21" s="21">
        <f>IFERROR(Data!G21/Data!F21,0)</f>
        <v/>
      </c>
      <c r="H21" s="22">
        <f>IF(ABS(G21-Data!I21)&lt;Summary!$B$4,"OK","CHECK")</f>
        <v/>
      </c>
      <c r="I21" s="1" t="n"/>
      <c r="J21" s="1" t="n"/>
    </row>
    <row r="22">
      <c r="A22" s="17">
        <f>Data!A22</f>
        <v/>
      </c>
      <c r="B22" s="63">
        <f>Data!B22</f>
        <v/>
      </c>
      <c r="C22" s="17">
        <f>Data!D22</f>
        <v/>
      </c>
      <c r="D22" s="64">
        <f>IFERROR(Data!G22/Data!H22,0)</f>
        <v/>
      </c>
      <c r="E22" s="64">
        <f>IFERROR(Data!L22/Data!K22,0)</f>
        <v/>
      </c>
      <c r="F22" s="65">
        <f>Data!F22-Data!E22</f>
        <v/>
      </c>
      <c r="G22" s="21">
        <f>IFERROR(Data!G22/Data!F22,0)</f>
        <v/>
      </c>
      <c r="H22" s="22">
        <f>IF(ABS(G22-Data!I22)&lt;Summary!$B$4,"OK","CHECK")</f>
        <v/>
      </c>
      <c r="I22" s="1" t="n"/>
      <c r="J22" s="1" t="n"/>
    </row>
    <row r="23">
      <c r="A23" s="17">
        <f>Data!A23</f>
        <v/>
      </c>
      <c r="B23" s="63">
        <f>Data!B23</f>
        <v/>
      </c>
      <c r="C23" s="17">
        <f>Data!D23</f>
        <v/>
      </c>
      <c r="D23" s="64">
        <f>IFERROR(Data!G23/Data!H23,0)</f>
        <v/>
      </c>
      <c r="E23" s="64">
        <f>IFERROR(Data!L23/Data!K23,0)</f>
        <v/>
      </c>
      <c r="F23" s="65">
        <f>Data!F23-Data!E23</f>
        <v/>
      </c>
      <c r="G23" s="21">
        <f>IFERROR(Data!G23/Data!F23,0)</f>
        <v/>
      </c>
      <c r="H23" s="22">
        <f>IF(ABS(G23-Data!I23)&lt;Summary!$B$4,"OK","CHECK")</f>
        <v/>
      </c>
      <c r="I23" s="1" t="n"/>
      <c r="J23" s="1" t="n"/>
    </row>
    <row r="24">
      <c r="A24" s="17">
        <f>Data!A24</f>
        <v/>
      </c>
      <c r="B24" s="63">
        <f>Data!B24</f>
        <v/>
      </c>
      <c r="C24" s="17">
        <f>Data!D24</f>
        <v/>
      </c>
      <c r="D24" s="64">
        <f>IFERROR(Data!G24/Data!H24,0)</f>
        <v/>
      </c>
      <c r="E24" s="64">
        <f>IFERROR(Data!L24/Data!K24,0)</f>
        <v/>
      </c>
      <c r="F24" s="65">
        <f>Data!F24-Data!E24</f>
        <v/>
      </c>
      <c r="G24" s="21">
        <f>IFERROR(Data!G24/Data!F24,0)</f>
        <v/>
      </c>
      <c r="H24" s="22">
        <f>IF(ABS(G24-Data!I24)&lt;Summary!$B$4,"OK","CHECK")</f>
        <v/>
      </c>
      <c r="I24" s="1" t="n"/>
      <c r="J24" s="1" t="n"/>
    </row>
    <row r="25">
      <c r="A25" s="17">
        <f>Data!A25</f>
        <v/>
      </c>
      <c r="B25" s="63">
        <f>Data!B25</f>
        <v/>
      </c>
      <c r="C25" s="17">
        <f>Data!D25</f>
        <v/>
      </c>
      <c r="D25" s="64">
        <f>IFERROR(Data!G25/Data!H25,0)</f>
        <v/>
      </c>
      <c r="E25" s="64">
        <f>IFERROR(Data!L25/Data!K25,0)</f>
        <v/>
      </c>
      <c r="F25" s="65">
        <f>Data!F25-Data!E25</f>
        <v/>
      </c>
      <c r="G25" s="21">
        <f>IFERROR(Data!G25/Data!F25,0)</f>
        <v/>
      </c>
      <c r="H25" s="22">
        <f>IF(ABS(G25-Data!I25)&lt;Summary!$B$4,"OK","CHECK")</f>
        <v/>
      </c>
      <c r="I25" s="1" t="n"/>
      <c r="J25" s="1" t="n"/>
    </row>
    <row r="26">
      <c r="A26" s="17">
        <f>Data!A26</f>
        <v/>
      </c>
      <c r="B26" s="63">
        <f>Data!B26</f>
        <v/>
      </c>
      <c r="C26" s="17">
        <f>Data!D26</f>
        <v/>
      </c>
      <c r="D26" s="64">
        <f>IFERROR(Data!G26/Data!H26,0)</f>
        <v/>
      </c>
      <c r="E26" s="64">
        <f>IFERROR(Data!L26/Data!K26,0)</f>
        <v/>
      </c>
      <c r="F26" s="65">
        <f>Data!F26-Data!E26</f>
        <v/>
      </c>
      <c r="G26" s="21">
        <f>IFERROR(Data!G26/Data!F26,0)</f>
        <v/>
      </c>
      <c r="H26" s="22">
        <f>IF(ABS(G26-Data!I26)&lt;Summary!$B$4,"OK","CHECK")</f>
        <v/>
      </c>
      <c r="I26" s="1" t="n"/>
      <c r="J26" s="1" t="n"/>
    </row>
    <row r="27">
      <c r="A27" s="17">
        <f>Data!A27</f>
        <v/>
      </c>
      <c r="B27" s="63">
        <f>Data!B27</f>
        <v/>
      </c>
      <c r="C27" s="17">
        <f>Data!D27</f>
        <v/>
      </c>
      <c r="D27" s="64">
        <f>IFERROR(Data!G27/Data!H27,0)</f>
        <v/>
      </c>
      <c r="E27" s="64">
        <f>IFERROR(Data!L27/Data!K27,0)</f>
        <v/>
      </c>
      <c r="F27" s="65">
        <f>Data!F27-Data!E27</f>
        <v/>
      </c>
      <c r="G27" s="21">
        <f>IFERROR(Data!G27/Data!F27,0)</f>
        <v/>
      </c>
      <c r="H27" s="22">
        <f>IF(ABS(G27-Data!I27)&lt;Summary!$B$4,"OK","CHECK")</f>
        <v/>
      </c>
      <c r="I27" s="1" t="n"/>
      <c r="J27" s="1" t="n"/>
    </row>
    <row r="28">
      <c r="A28" s="17">
        <f>Data!A28</f>
        <v/>
      </c>
      <c r="B28" s="63">
        <f>Data!B28</f>
        <v/>
      </c>
      <c r="C28" s="17">
        <f>Data!D28</f>
        <v/>
      </c>
      <c r="D28" s="64">
        <f>IFERROR(Data!G28/Data!H28,0)</f>
        <v/>
      </c>
      <c r="E28" s="64">
        <f>IFERROR(Data!L28/Data!K28,0)</f>
        <v/>
      </c>
      <c r="F28" s="65">
        <f>Data!F28-Data!E28</f>
        <v/>
      </c>
      <c r="G28" s="21">
        <f>IFERROR(Data!G28/Data!F28,0)</f>
        <v/>
      </c>
      <c r="H28" s="22">
        <f>IF(ABS(G28-Data!I28)&lt;Summary!$B$4,"OK","CHECK")</f>
        <v/>
      </c>
      <c r="I28" s="1" t="n"/>
      <c r="J28" s="1" t="n"/>
    </row>
    <row r="29">
      <c r="A29" s="17">
        <f>Data!A29</f>
        <v/>
      </c>
      <c r="B29" s="63">
        <f>Data!B29</f>
        <v/>
      </c>
      <c r="C29" s="17">
        <f>Data!D29</f>
        <v/>
      </c>
      <c r="D29" s="64">
        <f>IFERROR(Data!G29/Data!H29,0)</f>
        <v/>
      </c>
      <c r="E29" s="64">
        <f>IFERROR(Data!L29/Data!K29,0)</f>
        <v/>
      </c>
      <c r="F29" s="65">
        <f>Data!F29-Data!E29</f>
        <v/>
      </c>
      <c r="G29" s="21">
        <f>IFERROR(Data!G29/Data!F29,0)</f>
        <v/>
      </c>
      <c r="H29" s="22">
        <f>IF(ABS(G29-Data!I29)&lt;Summary!$B$4,"OK","CHECK")</f>
        <v/>
      </c>
      <c r="I29" s="1" t="n"/>
      <c r="J29" s="1" t="n"/>
    </row>
    <row r="30">
      <c r="A30" s="17">
        <f>Data!A30</f>
        <v/>
      </c>
      <c r="B30" s="63">
        <f>Data!B30</f>
        <v/>
      </c>
      <c r="C30" s="17">
        <f>Data!D30</f>
        <v/>
      </c>
      <c r="D30" s="64">
        <f>IFERROR(Data!G30/Data!H30,0)</f>
        <v/>
      </c>
      <c r="E30" s="64">
        <f>IFERROR(Data!L30/Data!K30,0)</f>
        <v/>
      </c>
      <c r="F30" s="65">
        <f>Data!F30-Data!E30</f>
        <v/>
      </c>
      <c r="G30" s="21">
        <f>IFERROR(Data!G30/Data!F30,0)</f>
        <v/>
      </c>
      <c r="H30" s="22">
        <f>IF(ABS(G30-Data!I30)&lt;Summary!$B$4,"OK","CHECK")</f>
        <v/>
      </c>
      <c r="I30" s="1" t="n"/>
      <c r="J30" s="1" t="n"/>
    </row>
    <row r="31">
      <c r="A31" s="17">
        <f>Data!A31</f>
        <v/>
      </c>
      <c r="B31" s="63">
        <f>Data!B31</f>
        <v/>
      </c>
      <c r="C31" s="17">
        <f>Data!D31</f>
        <v/>
      </c>
      <c r="D31" s="64">
        <f>IFERROR(Data!G31/Data!H31,0)</f>
        <v/>
      </c>
      <c r="E31" s="64">
        <f>IFERROR(Data!L31/Data!K31,0)</f>
        <v/>
      </c>
      <c r="F31" s="65">
        <f>Data!F31-Data!E31</f>
        <v/>
      </c>
      <c r="G31" s="21">
        <f>IFERROR(Data!G31/Data!F31,0)</f>
        <v/>
      </c>
      <c r="H31" s="22">
        <f>IF(ABS(G31-Data!I31)&lt;Summary!$B$4,"OK","CHECK")</f>
        <v/>
      </c>
      <c r="I31" s="1" t="n"/>
      <c r="J31" s="1" t="n"/>
    </row>
    <row r="32">
      <c r="A32" s="17">
        <f>Data!A32</f>
        <v/>
      </c>
      <c r="B32" s="63">
        <f>Data!B32</f>
        <v/>
      </c>
      <c r="C32" s="17">
        <f>Data!D32</f>
        <v/>
      </c>
      <c r="D32" s="64">
        <f>IFERROR(Data!G32/Data!H32,0)</f>
        <v/>
      </c>
      <c r="E32" s="64">
        <f>IFERROR(Data!L32/Data!K32,0)</f>
        <v/>
      </c>
      <c r="F32" s="65">
        <f>Data!F32-Data!E32</f>
        <v/>
      </c>
      <c r="G32" s="21">
        <f>IFERROR(Data!G32/Data!F32,0)</f>
        <v/>
      </c>
      <c r="H32" s="22">
        <f>IF(ABS(G32-Data!I32)&lt;Summary!$B$4,"OK","CHECK")</f>
        <v/>
      </c>
      <c r="I32" s="1" t="n"/>
      <c r="J32" s="1" t="n"/>
    </row>
    <row r="33">
      <c r="A33" s="17">
        <f>Data!A33</f>
        <v/>
      </c>
      <c r="B33" s="63">
        <f>Data!B33</f>
        <v/>
      </c>
      <c r="C33" s="17">
        <f>Data!D33</f>
        <v/>
      </c>
      <c r="D33" s="64">
        <f>IFERROR(Data!G33/Data!H33,0)</f>
        <v/>
      </c>
      <c r="E33" s="64">
        <f>IFERROR(Data!L33/Data!K33,0)</f>
        <v/>
      </c>
      <c r="F33" s="65">
        <f>Data!F33-Data!E33</f>
        <v/>
      </c>
      <c r="G33" s="21">
        <f>IFERROR(Data!G33/Data!F33,0)</f>
        <v/>
      </c>
      <c r="H33" s="22">
        <f>IF(ABS(G33-Data!I33)&lt;Summary!$B$4,"OK","CHECK")</f>
        <v/>
      </c>
      <c r="I33" s="1" t="n"/>
      <c r="J33" s="1" t="n"/>
    </row>
    <row r="34">
      <c r="A34" s="17">
        <f>Data!A34</f>
        <v/>
      </c>
      <c r="B34" s="63">
        <f>Data!B34</f>
        <v/>
      </c>
      <c r="C34" s="17">
        <f>Data!D34</f>
        <v/>
      </c>
      <c r="D34" s="64">
        <f>IFERROR(Data!G34/Data!H34,0)</f>
        <v/>
      </c>
      <c r="E34" s="64">
        <f>IFERROR(Data!L34/Data!K34,0)</f>
        <v/>
      </c>
      <c r="F34" s="65">
        <f>Data!F34-Data!E34</f>
        <v/>
      </c>
      <c r="G34" s="21">
        <f>IFERROR(Data!G34/Data!F34,0)</f>
        <v/>
      </c>
      <c r="H34" s="22">
        <f>IF(ABS(G34-Data!I34)&lt;Summary!$B$4,"OK","CHECK")</f>
        <v/>
      </c>
      <c r="I34" s="1" t="n"/>
      <c r="J34" s="1" t="n"/>
    </row>
    <row r="35">
      <c r="A35" s="17">
        <f>Data!A35</f>
        <v/>
      </c>
      <c r="B35" s="63">
        <f>Data!B35</f>
        <v/>
      </c>
      <c r="C35" s="17">
        <f>Data!D35</f>
        <v/>
      </c>
      <c r="D35" s="64">
        <f>IFERROR(Data!G35/Data!H35,0)</f>
        <v/>
      </c>
      <c r="E35" s="64">
        <f>IFERROR(Data!L35/Data!K35,0)</f>
        <v/>
      </c>
      <c r="F35" s="65">
        <f>Data!F35-Data!E35</f>
        <v/>
      </c>
      <c r="G35" s="21">
        <f>IFERROR(Data!G35/Data!F35,0)</f>
        <v/>
      </c>
      <c r="H35" s="22">
        <f>IF(ABS(G35-Data!I35)&lt;Summary!$B$4,"OK","CHECK")</f>
        <v/>
      </c>
      <c r="I35" s="1" t="n"/>
      <c r="J35" s="1" t="n"/>
    </row>
    <row r="36">
      <c r="A36" s="17">
        <f>Data!A36</f>
        <v/>
      </c>
      <c r="B36" s="63">
        <f>Data!B36</f>
        <v/>
      </c>
      <c r="C36" s="17">
        <f>Data!D36</f>
        <v/>
      </c>
      <c r="D36" s="64">
        <f>IFERROR(Data!G36/Data!H36,0)</f>
        <v/>
      </c>
      <c r="E36" s="64">
        <f>IFERROR(Data!L36/Data!K36,0)</f>
        <v/>
      </c>
      <c r="F36" s="65">
        <f>Data!F36-Data!E36</f>
        <v/>
      </c>
      <c r="G36" s="21">
        <f>IFERROR(Data!G36/Data!F36,0)</f>
        <v/>
      </c>
      <c r="H36" s="22">
        <f>IF(ABS(G36-Data!I36)&lt;Summary!$B$4,"OK","CHECK")</f>
        <v/>
      </c>
      <c r="I36" s="1" t="n"/>
      <c r="J36" s="1" t="n"/>
    </row>
    <row r="37">
      <c r="A37" s="17">
        <f>Data!A37</f>
        <v/>
      </c>
      <c r="B37" s="63">
        <f>Data!B37</f>
        <v/>
      </c>
      <c r="C37" s="17">
        <f>Data!D37</f>
        <v/>
      </c>
      <c r="D37" s="64">
        <f>IFERROR(Data!G37/Data!H37,0)</f>
        <v/>
      </c>
      <c r="E37" s="64">
        <f>IFERROR(Data!L37/Data!K37,0)</f>
        <v/>
      </c>
      <c r="F37" s="65">
        <f>Data!F37-Data!E37</f>
        <v/>
      </c>
      <c r="G37" s="21">
        <f>IFERROR(Data!G37/Data!F37,0)</f>
        <v/>
      </c>
      <c r="H37" s="22">
        <f>IF(ABS(G37-Data!I37)&lt;Summary!$B$4,"OK","CHECK")</f>
        <v/>
      </c>
      <c r="I37" s="1" t="n"/>
      <c r="J37" s="1" t="n"/>
    </row>
    <row r="38">
      <c r="A38" s="17">
        <f>Data!A38</f>
        <v/>
      </c>
      <c r="B38" s="63">
        <f>Data!B38</f>
        <v/>
      </c>
      <c r="C38" s="17">
        <f>Data!D38</f>
        <v/>
      </c>
      <c r="D38" s="64">
        <f>IFERROR(Data!G38/Data!H38,0)</f>
        <v/>
      </c>
      <c r="E38" s="64">
        <f>IFERROR(Data!L38/Data!K38,0)</f>
        <v/>
      </c>
      <c r="F38" s="65">
        <f>Data!F38-Data!E38</f>
        <v/>
      </c>
      <c r="G38" s="21">
        <f>IFERROR(Data!G38/Data!F38,0)</f>
        <v/>
      </c>
      <c r="H38" s="22">
        <f>IF(ABS(G38-Data!I38)&lt;Summary!$B$4,"OK","CHECK")</f>
        <v/>
      </c>
      <c r="I38" s="1" t="n"/>
      <c r="J38" s="1" t="n"/>
    </row>
    <row r="39">
      <c r="A39" s="17">
        <f>Data!A39</f>
        <v/>
      </c>
      <c r="B39" s="63">
        <f>Data!B39</f>
        <v/>
      </c>
      <c r="C39" s="17">
        <f>Data!D39</f>
        <v/>
      </c>
      <c r="D39" s="64">
        <f>IFERROR(Data!G39/Data!H39,0)</f>
        <v/>
      </c>
      <c r="E39" s="64">
        <f>IFERROR(Data!L39/Data!K39,0)</f>
        <v/>
      </c>
      <c r="F39" s="65">
        <f>Data!F39-Data!E39</f>
        <v/>
      </c>
      <c r="G39" s="21">
        <f>IFERROR(Data!G39/Data!F39,0)</f>
        <v/>
      </c>
      <c r="H39" s="22">
        <f>IF(ABS(G39-Data!I39)&lt;Summary!$B$4,"OK","CHECK")</f>
        <v/>
      </c>
      <c r="I39" s="1" t="n"/>
      <c r="J39" s="1" t="n"/>
    </row>
    <row r="40">
      <c r="A40" s="17">
        <f>Data!A40</f>
        <v/>
      </c>
      <c r="B40" s="63">
        <f>Data!B40</f>
        <v/>
      </c>
      <c r="C40" s="17">
        <f>Data!D40</f>
        <v/>
      </c>
      <c r="D40" s="64">
        <f>IFERROR(Data!G40/Data!H40,0)</f>
        <v/>
      </c>
      <c r="E40" s="64">
        <f>IFERROR(Data!L40/Data!K40,0)</f>
        <v/>
      </c>
      <c r="F40" s="65">
        <f>Data!F40-Data!E40</f>
        <v/>
      </c>
      <c r="G40" s="21">
        <f>IFERROR(Data!G40/Data!F40,0)</f>
        <v/>
      </c>
      <c r="H40" s="22">
        <f>IF(ABS(G40-Data!I40)&lt;Summary!$B$4,"OK","CHECK")</f>
        <v/>
      </c>
      <c r="I40" s="1" t="n"/>
      <c r="J40" s="1" t="n"/>
    </row>
    <row r="41">
      <c r="A41" s="17">
        <f>Data!A41</f>
        <v/>
      </c>
      <c r="B41" s="63">
        <f>Data!B41</f>
        <v/>
      </c>
      <c r="C41" s="17">
        <f>Data!D41</f>
        <v/>
      </c>
      <c r="D41" s="64">
        <f>IFERROR(Data!G41/Data!H41,0)</f>
        <v/>
      </c>
      <c r="E41" s="64">
        <f>IFERROR(Data!L41/Data!K41,0)</f>
        <v/>
      </c>
      <c r="F41" s="65">
        <f>Data!F41-Data!E41</f>
        <v/>
      </c>
      <c r="G41" s="21">
        <f>IFERROR(Data!G41/Data!F41,0)</f>
        <v/>
      </c>
      <c r="H41" s="22">
        <f>IF(ABS(G41-Data!I41)&lt;Summary!$B$4,"OK","CHECK")</f>
        <v/>
      </c>
      <c r="I41" s="1" t="n"/>
      <c r="J41" s="1" t="n"/>
    </row>
    <row r="42">
      <c r="A42" s="17">
        <f>Data!A42</f>
        <v/>
      </c>
      <c r="B42" s="63">
        <f>Data!B42</f>
        <v/>
      </c>
      <c r="C42" s="17">
        <f>Data!D42</f>
        <v/>
      </c>
      <c r="D42" s="64">
        <f>IFERROR(Data!G42/Data!H42,0)</f>
        <v/>
      </c>
      <c r="E42" s="64">
        <f>IFERROR(Data!L42/Data!K42,0)</f>
        <v/>
      </c>
      <c r="F42" s="65">
        <f>Data!F42-Data!E42</f>
        <v/>
      </c>
      <c r="G42" s="21">
        <f>IFERROR(Data!G42/Data!F42,0)</f>
        <v/>
      </c>
      <c r="H42" s="22">
        <f>IF(ABS(G42-Data!I42)&lt;Summary!$B$4,"OK","CHECK")</f>
        <v/>
      </c>
      <c r="I42" s="1" t="n"/>
      <c r="J42" s="1" t="n"/>
    </row>
    <row r="43">
      <c r="A43" s="17">
        <f>Data!A43</f>
        <v/>
      </c>
      <c r="B43" s="63">
        <f>Data!B43</f>
        <v/>
      </c>
      <c r="C43" s="17">
        <f>Data!D43</f>
        <v/>
      </c>
      <c r="D43" s="64">
        <f>IFERROR(Data!G43/Data!H43,0)</f>
        <v/>
      </c>
      <c r="E43" s="64">
        <f>IFERROR(Data!L43/Data!K43,0)</f>
        <v/>
      </c>
      <c r="F43" s="65">
        <f>Data!F43-Data!E43</f>
        <v/>
      </c>
      <c r="G43" s="21">
        <f>IFERROR(Data!G43/Data!F43,0)</f>
        <v/>
      </c>
      <c r="H43" s="22">
        <f>IF(ABS(G43-Data!I43)&lt;Summary!$B$4,"OK","CHECK")</f>
        <v/>
      </c>
      <c r="I43" s="1" t="n"/>
      <c r="J43" s="1" t="n"/>
    </row>
    <row r="44">
      <c r="A44" s="17">
        <f>Data!A44</f>
        <v/>
      </c>
      <c r="B44" s="63">
        <f>Data!B44</f>
        <v/>
      </c>
      <c r="C44" s="17">
        <f>Data!D44</f>
        <v/>
      </c>
      <c r="D44" s="64">
        <f>IFERROR(Data!G44/Data!H44,0)</f>
        <v/>
      </c>
      <c r="E44" s="64">
        <f>IFERROR(Data!L44/Data!K44,0)</f>
        <v/>
      </c>
      <c r="F44" s="65">
        <f>Data!F44-Data!E44</f>
        <v/>
      </c>
      <c r="G44" s="21">
        <f>IFERROR(Data!G44/Data!F44,0)</f>
        <v/>
      </c>
      <c r="H44" s="22">
        <f>IF(ABS(G44-Data!I44)&lt;Summary!$B$4,"OK","CHECK")</f>
        <v/>
      </c>
      <c r="I44" s="1" t="n"/>
      <c r="J44" s="1" t="n"/>
    </row>
    <row r="45">
      <c r="A45" s="17">
        <f>Data!A45</f>
        <v/>
      </c>
      <c r="B45" s="63">
        <f>Data!B45</f>
        <v/>
      </c>
      <c r="C45" s="17">
        <f>Data!D45</f>
        <v/>
      </c>
      <c r="D45" s="64">
        <f>IFERROR(Data!G45/Data!H45,0)</f>
        <v/>
      </c>
      <c r="E45" s="64">
        <f>IFERROR(Data!L45/Data!K45,0)</f>
        <v/>
      </c>
      <c r="F45" s="65">
        <f>Data!F45-Data!E45</f>
        <v/>
      </c>
      <c r="G45" s="21">
        <f>IFERROR(Data!G45/Data!F45,0)</f>
        <v/>
      </c>
      <c r="H45" s="22">
        <f>IF(ABS(G45-Data!I45)&lt;Summary!$B$4,"OK","CHECK")</f>
        <v/>
      </c>
      <c r="I45" s="1" t="n"/>
      <c r="J45" s="1" t="n"/>
    </row>
    <row r="46">
      <c r="A46" s="17">
        <f>Data!A46</f>
        <v/>
      </c>
      <c r="B46" s="63">
        <f>Data!B46</f>
        <v/>
      </c>
      <c r="C46" s="17">
        <f>Data!D46</f>
        <v/>
      </c>
      <c r="D46" s="64">
        <f>IFERROR(Data!G46/Data!H46,0)</f>
        <v/>
      </c>
      <c r="E46" s="64">
        <f>IFERROR(Data!L46/Data!K46,0)</f>
        <v/>
      </c>
      <c r="F46" s="65">
        <f>Data!F46-Data!E46</f>
        <v/>
      </c>
      <c r="G46" s="21">
        <f>IFERROR(Data!G46/Data!F46,0)</f>
        <v/>
      </c>
      <c r="H46" s="22">
        <f>IF(ABS(G46-Data!I46)&lt;Summary!$B$4,"OK","CHECK")</f>
        <v/>
      </c>
      <c r="I46" s="1" t="n"/>
      <c r="J46" s="1" t="n"/>
    </row>
    <row r="47">
      <c r="A47" s="17">
        <f>Data!A47</f>
        <v/>
      </c>
      <c r="B47" s="63">
        <f>Data!B47</f>
        <v/>
      </c>
      <c r="C47" s="17">
        <f>Data!D47</f>
        <v/>
      </c>
      <c r="D47" s="64">
        <f>IFERROR(Data!G47/Data!H47,0)</f>
        <v/>
      </c>
      <c r="E47" s="64">
        <f>IFERROR(Data!L47/Data!K47,0)</f>
        <v/>
      </c>
      <c r="F47" s="65">
        <f>Data!F47-Data!E47</f>
        <v/>
      </c>
      <c r="G47" s="21">
        <f>IFERROR(Data!G47/Data!F47,0)</f>
        <v/>
      </c>
      <c r="H47" s="22">
        <f>IF(ABS(G47-Data!I47)&lt;Summary!$B$4,"OK","CHECK")</f>
        <v/>
      </c>
      <c r="I47" s="1" t="n"/>
      <c r="J47" s="1" t="n"/>
    </row>
    <row r="48">
      <c r="A48" s="17">
        <f>Data!A48</f>
        <v/>
      </c>
      <c r="B48" s="63">
        <f>Data!B48</f>
        <v/>
      </c>
      <c r="C48" s="17">
        <f>Data!D48</f>
        <v/>
      </c>
      <c r="D48" s="64">
        <f>IFERROR(Data!G48/Data!H48,0)</f>
        <v/>
      </c>
      <c r="E48" s="64">
        <f>IFERROR(Data!L48/Data!K48,0)</f>
        <v/>
      </c>
      <c r="F48" s="65">
        <f>Data!F48-Data!E48</f>
        <v/>
      </c>
      <c r="G48" s="21">
        <f>IFERROR(Data!G48/Data!F48,0)</f>
        <v/>
      </c>
      <c r="H48" s="22">
        <f>IF(ABS(G48-Data!I48)&lt;Summary!$B$4,"OK","CHECK")</f>
        <v/>
      </c>
      <c r="I48" s="1" t="n"/>
      <c r="J48" s="1" t="n"/>
    </row>
    <row r="49">
      <c r="A49" s="17">
        <f>Data!A49</f>
        <v/>
      </c>
      <c r="B49" s="63">
        <f>Data!B49</f>
        <v/>
      </c>
      <c r="C49" s="17">
        <f>Data!D49</f>
        <v/>
      </c>
      <c r="D49" s="64">
        <f>IFERROR(Data!G49/Data!H49,0)</f>
        <v/>
      </c>
      <c r="E49" s="64">
        <f>IFERROR(Data!L49/Data!K49,0)</f>
        <v/>
      </c>
      <c r="F49" s="65">
        <f>Data!F49-Data!E49</f>
        <v/>
      </c>
      <c r="G49" s="21">
        <f>IFERROR(Data!G49/Data!F49,0)</f>
        <v/>
      </c>
      <c r="H49" s="22">
        <f>IF(ABS(G49-Data!I49)&lt;Summary!$B$4,"OK","CHECK")</f>
        <v/>
      </c>
      <c r="I49" s="1" t="n"/>
      <c r="J49" s="1" t="n"/>
    </row>
    <row r="50">
      <c r="A50" s="17">
        <f>Data!A50</f>
        <v/>
      </c>
      <c r="B50" s="63">
        <f>Data!B50</f>
        <v/>
      </c>
      <c r="C50" s="17">
        <f>Data!D50</f>
        <v/>
      </c>
      <c r="D50" s="64">
        <f>IFERROR(Data!G50/Data!H50,0)</f>
        <v/>
      </c>
      <c r="E50" s="64">
        <f>IFERROR(Data!L50/Data!K50,0)</f>
        <v/>
      </c>
      <c r="F50" s="65">
        <f>Data!F50-Data!E50</f>
        <v/>
      </c>
      <c r="G50" s="21">
        <f>IFERROR(Data!G50/Data!F50,0)</f>
        <v/>
      </c>
      <c r="H50" s="22">
        <f>IF(ABS(G50-Data!I50)&lt;Summary!$B$4,"OK","CHECK")</f>
        <v/>
      </c>
      <c r="I50" s="1" t="n"/>
      <c r="J50" s="1" t="n"/>
    </row>
    <row r="51">
      <c r="A51" s="17">
        <f>Data!A51</f>
        <v/>
      </c>
      <c r="B51" s="63">
        <f>Data!B51</f>
        <v/>
      </c>
      <c r="C51" s="17">
        <f>Data!D51</f>
        <v/>
      </c>
      <c r="D51" s="64">
        <f>IFERROR(Data!G51/Data!H51,0)</f>
        <v/>
      </c>
      <c r="E51" s="64">
        <f>IFERROR(Data!L51/Data!K51,0)</f>
        <v/>
      </c>
      <c r="F51" s="65">
        <f>Data!F51-Data!E51</f>
        <v/>
      </c>
      <c r="G51" s="21">
        <f>IFERROR(Data!G51/Data!F51,0)</f>
        <v/>
      </c>
      <c r="H51" s="22">
        <f>IF(ABS(G51-Data!I51)&lt;Summary!$B$4,"OK","CHECK")</f>
        <v/>
      </c>
      <c r="I51" s="1" t="n"/>
      <c r="J51" s="1" t="n"/>
    </row>
    <row r="52">
      <c r="A52" s="17">
        <f>Data!A52</f>
        <v/>
      </c>
      <c r="B52" s="63">
        <f>Data!B52</f>
        <v/>
      </c>
      <c r="C52" s="17">
        <f>Data!D52</f>
        <v/>
      </c>
      <c r="D52" s="64">
        <f>IFERROR(Data!G52/Data!H52,0)</f>
        <v/>
      </c>
      <c r="E52" s="64">
        <f>IFERROR(Data!L52/Data!K52,0)</f>
        <v/>
      </c>
      <c r="F52" s="65">
        <f>Data!F52-Data!E52</f>
        <v/>
      </c>
      <c r="G52" s="21">
        <f>IFERROR(Data!G52/Data!F52,0)</f>
        <v/>
      </c>
      <c r="H52" s="22">
        <f>IF(ABS(G52-Data!I52)&lt;Summary!$B$4,"OK","CHECK")</f>
        <v/>
      </c>
      <c r="I52" s="1" t="n"/>
      <c r="J52" s="1" t="n"/>
    </row>
    <row r="53">
      <c r="A53" s="17">
        <f>Data!A53</f>
        <v/>
      </c>
      <c r="B53" s="63">
        <f>Data!B53</f>
        <v/>
      </c>
      <c r="C53" s="17">
        <f>Data!D53</f>
        <v/>
      </c>
      <c r="D53" s="64">
        <f>IFERROR(Data!G53/Data!H53,0)</f>
        <v/>
      </c>
      <c r="E53" s="64">
        <f>IFERROR(Data!L53/Data!K53,0)</f>
        <v/>
      </c>
      <c r="F53" s="65">
        <f>Data!F53-Data!E53</f>
        <v/>
      </c>
      <c r="G53" s="21">
        <f>IFERROR(Data!G53/Data!F53,0)</f>
        <v/>
      </c>
      <c r="H53" s="22">
        <f>IF(ABS(G53-Data!I53)&lt;Summary!$B$4,"OK","CHECK")</f>
        <v/>
      </c>
      <c r="I53" s="1" t="n"/>
      <c r="J53" s="1" t="n"/>
    </row>
    <row r="54">
      <c r="A54" s="17">
        <f>Data!A54</f>
        <v/>
      </c>
      <c r="B54" s="63">
        <f>Data!B54</f>
        <v/>
      </c>
      <c r="C54" s="17">
        <f>Data!D54</f>
        <v/>
      </c>
      <c r="D54" s="64">
        <f>IFERROR(Data!G54/Data!H54,0)</f>
        <v/>
      </c>
      <c r="E54" s="64">
        <f>IFERROR(Data!L54/Data!K54,0)</f>
        <v/>
      </c>
      <c r="F54" s="65">
        <f>Data!F54-Data!E54</f>
        <v/>
      </c>
      <c r="G54" s="21">
        <f>IFERROR(Data!G54/Data!F54,0)</f>
        <v/>
      </c>
      <c r="H54" s="22">
        <f>IF(ABS(G54-Data!I54)&lt;Summary!$B$4,"OK","CHECK")</f>
        <v/>
      </c>
      <c r="I54" s="1" t="n"/>
      <c r="J54" s="1" t="n"/>
    </row>
    <row r="55">
      <c r="A55" s="17">
        <f>Data!A55</f>
        <v/>
      </c>
      <c r="B55" s="63">
        <f>Data!B55</f>
        <v/>
      </c>
      <c r="C55" s="17">
        <f>Data!D55</f>
        <v/>
      </c>
      <c r="D55" s="64">
        <f>IFERROR(Data!G55/Data!H55,0)</f>
        <v/>
      </c>
      <c r="E55" s="64">
        <f>IFERROR(Data!L55/Data!K55,0)</f>
        <v/>
      </c>
      <c r="F55" s="65">
        <f>Data!F55-Data!E55</f>
        <v/>
      </c>
      <c r="G55" s="21">
        <f>IFERROR(Data!G55/Data!F55,0)</f>
        <v/>
      </c>
      <c r="H55" s="22">
        <f>IF(ABS(G55-Data!I55)&lt;Summary!$B$4,"OK","CHECK")</f>
        <v/>
      </c>
      <c r="I55" s="1" t="n"/>
      <c r="J55" s="1" t="n"/>
    </row>
    <row r="56">
      <c r="A56" s="17">
        <f>Data!A56</f>
        <v/>
      </c>
      <c r="B56" s="63">
        <f>Data!B56</f>
        <v/>
      </c>
      <c r="C56" s="17">
        <f>Data!D56</f>
        <v/>
      </c>
      <c r="D56" s="64">
        <f>IFERROR(Data!G56/Data!H56,0)</f>
        <v/>
      </c>
      <c r="E56" s="64">
        <f>IFERROR(Data!L56/Data!K56,0)</f>
        <v/>
      </c>
      <c r="F56" s="65">
        <f>Data!F56-Data!E56</f>
        <v/>
      </c>
      <c r="G56" s="21">
        <f>IFERROR(Data!G56/Data!F56,0)</f>
        <v/>
      </c>
      <c r="H56" s="22">
        <f>IF(ABS(G56-Data!I56)&lt;Summary!$B$4,"OK","CHECK")</f>
        <v/>
      </c>
      <c r="I56" s="1" t="n"/>
      <c r="J56" s="1" t="n"/>
    </row>
    <row r="57">
      <c r="A57" s="17">
        <f>Data!A57</f>
        <v/>
      </c>
      <c r="B57" s="63">
        <f>Data!B57</f>
        <v/>
      </c>
      <c r="C57" s="17">
        <f>Data!D57</f>
        <v/>
      </c>
      <c r="D57" s="64">
        <f>IFERROR(Data!G57/Data!H57,0)</f>
        <v/>
      </c>
      <c r="E57" s="64">
        <f>IFERROR(Data!L57/Data!K57,0)</f>
        <v/>
      </c>
      <c r="F57" s="65">
        <f>Data!F57-Data!E57</f>
        <v/>
      </c>
      <c r="G57" s="21">
        <f>IFERROR(Data!G57/Data!F57,0)</f>
        <v/>
      </c>
      <c r="H57" s="22">
        <f>IF(ABS(G57-Data!I57)&lt;Summary!$B$4,"OK","CHECK")</f>
        <v/>
      </c>
      <c r="I57" s="1" t="n"/>
      <c r="J57" s="1" t="n"/>
    </row>
    <row r="58">
      <c r="A58" s="17">
        <f>Data!A58</f>
        <v/>
      </c>
      <c r="B58" s="63">
        <f>Data!B58</f>
        <v/>
      </c>
      <c r="C58" s="17">
        <f>Data!D58</f>
        <v/>
      </c>
      <c r="D58" s="64">
        <f>IFERROR(Data!G58/Data!H58,0)</f>
        <v/>
      </c>
      <c r="E58" s="64">
        <f>IFERROR(Data!L58/Data!K58,0)</f>
        <v/>
      </c>
      <c r="F58" s="65">
        <f>Data!F58-Data!E58</f>
        <v/>
      </c>
      <c r="G58" s="21">
        <f>IFERROR(Data!G58/Data!F58,0)</f>
        <v/>
      </c>
      <c r="H58" s="22">
        <f>IF(ABS(G58-Data!I58)&lt;Summary!$B$4,"OK","CHECK")</f>
        <v/>
      </c>
      <c r="I58" s="1" t="n"/>
      <c r="J58" s="1" t="n"/>
    </row>
    <row r="59">
      <c r="A59" s="17">
        <f>Data!A59</f>
        <v/>
      </c>
      <c r="B59" s="63">
        <f>Data!B59</f>
        <v/>
      </c>
      <c r="C59" s="17">
        <f>Data!D59</f>
        <v/>
      </c>
      <c r="D59" s="64">
        <f>IFERROR(Data!G59/Data!H59,0)</f>
        <v/>
      </c>
      <c r="E59" s="64">
        <f>IFERROR(Data!L59/Data!K59,0)</f>
        <v/>
      </c>
      <c r="F59" s="65">
        <f>Data!F59-Data!E59</f>
        <v/>
      </c>
      <c r="G59" s="21">
        <f>IFERROR(Data!G59/Data!F59,0)</f>
        <v/>
      </c>
      <c r="H59" s="22">
        <f>IF(ABS(G59-Data!I59)&lt;Summary!$B$4,"OK","CHECK")</f>
        <v/>
      </c>
      <c r="I59" s="1" t="n"/>
      <c r="J59" s="1" t="n"/>
    </row>
    <row r="60">
      <c r="A60" s="17">
        <f>Data!A60</f>
        <v/>
      </c>
      <c r="B60" s="63">
        <f>Data!B60</f>
        <v/>
      </c>
      <c r="C60" s="17">
        <f>Data!D60</f>
        <v/>
      </c>
      <c r="D60" s="64">
        <f>IFERROR(Data!G60/Data!H60,0)</f>
        <v/>
      </c>
      <c r="E60" s="64">
        <f>IFERROR(Data!L60/Data!K60,0)</f>
        <v/>
      </c>
      <c r="F60" s="65">
        <f>Data!F60-Data!E60</f>
        <v/>
      </c>
      <c r="G60" s="21">
        <f>IFERROR(Data!G60/Data!F60,0)</f>
        <v/>
      </c>
      <c r="H60" s="22">
        <f>IF(ABS(G60-Data!I60)&lt;Summary!$B$4,"OK","CHECK")</f>
        <v/>
      </c>
      <c r="I60" s="1" t="n"/>
      <c r="J60" s="1" t="n"/>
    </row>
    <row r="61">
      <c r="A61" s="17">
        <f>Data!A61</f>
        <v/>
      </c>
      <c r="B61" s="63">
        <f>Data!B61</f>
        <v/>
      </c>
      <c r="C61" s="17">
        <f>Data!D61</f>
        <v/>
      </c>
      <c r="D61" s="64">
        <f>IFERROR(Data!G61/Data!H61,0)</f>
        <v/>
      </c>
      <c r="E61" s="64">
        <f>IFERROR(Data!L61/Data!K61,0)</f>
        <v/>
      </c>
      <c r="F61" s="65">
        <f>Data!F61-Data!E61</f>
        <v/>
      </c>
      <c r="G61" s="21">
        <f>IFERROR(Data!G61/Data!F61,0)</f>
        <v/>
      </c>
      <c r="H61" s="22">
        <f>IF(ABS(G61-Data!I61)&lt;Summary!$B$4,"OK","CHECK")</f>
        <v/>
      </c>
      <c r="I61" s="1" t="n"/>
      <c r="J61" s="1" t="n"/>
    </row>
    <row r="62">
      <c r="A62" s="17">
        <f>Data!A62</f>
        <v/>
      </c>
      <c r="B62" s="63">
        <f>Data!B62</f>
        <v/>
      </c>
      <c r="C62" s="17">
        <f>Data!D62</f>
        <v/>
      </c>
      <c r="D62" s="64">
        <f>IFERROR(Data!G62/Data!H62,0)</f>
        <v/>
      </c>
      <c r="E62" s="64">
        <f>IFERROR(Data!L62/Data!K62,0)</f>
        <v/>
      </c>
      <c r="F62" s="65">
        <f>Data!F62-Data!E62</f>
        <v/>
      </c>
      <c r="G62" s="21">
        <f>IFERROR(Data!G62/Data!F62,0)</f>
        <v/>
      </c>
      <c r="H62" s="22">
        <f>IF(ABS(G62-Data!I62)&lt;Summary!$B$4,"OK","CHECK")</f>
        <v/>
      </c>
      <c r="I62" s="1" t="n"/>
      <c r="J62" s="1" t="n"/>
    </row>
    <row r="63">
      <c r="A63" s="17">
        <f>Data!A63</f>
        <v/>
      </c>
      <c r="B63" s="63">
        <f>Data!B63</f>
        <v/>
      </c>
      <c r="C63" s="17">
        <f>Data!D63</f>
        <v/>
      </c>
      <c r="D63" s="64">
        <f>IFERROR(Data!G63/Data!H63,0)</f>
        <v/>
      </c>
      <c r="E63" s="64">
        <f>IFERROR(Data!L63/Data!K63,0)</f>
        <v/>
      </c>
      <c r="F63" s="65">
        <f>Data!F63-Data!E63</f>
        <v/>
      </c>
      <c r="G63" s="21">
        <f>IFERROR(Data!G63/Data!F63,0)</f>
        <v/>
      </c>
      <c r="H63" s="22">
        <f>IF(ABS(G63-Data!I63)&lt;Summary!$B$4,"OK","CHECK")</f>
        <v/>
      </c>
      <c r="I63" s="1" t="n"/>
      <c r="J63" s="1" t="n"/>
    </row>
    <row r="64">
      <c r="A64" s="17">
        <f>Data!A64</f>
        <v/>
      </c>
      <c r="B64" s="63">
        <f>Data!B64</f>
        <v/>
      </c>
      <c r="C64" s="17">
        <f>Data!D64</f>
        <v/>
      </c>
      <c r="D64" s="64">
        <f>IFERROR(Data!G64/Data!H64,0)</f>
        <v/>
      </c>
      <c r="E64" s="64">
        <f>IFERROR(Data!L64/Data!K64,0)</f>
        <v/>
      </c>
      <c r="F64" s="65">
        <f>Data!F64-Data!E64</f>
        <v/>
      </c>
      <c r="G64" s="21">
        <f>IFERROR(Data!G64/Data!F64,0)</f>
        <v/>
      </c>
      <c r="H64" s="22">
        <f>IF(ABS(G64-Data!I64)&lt;Summary!$B$4,"OK","CHECK")</f>
        <v/>
      </c>
      <c r="I64" s="1" t="n"/>
      <c r="J64" s="1" t="n"/>
    </row>
    <row r="65">
      <c r="A65" s="17">
        <f>Data!A65</f>
        <v/>
      </c>
      <c r="B65" s="63">
        <f>Data!B65</f>
        <v/>
      </c>
      <c r="C65" s="17">
        <f>Data!D65</f>
        <v/>
      </c>
      <c r="D65" s="64">
        <f>IFERROR(Data!G65/Data!H65,0)</f>
        <v/>
      </c>
      <c r="E65" s="64">
        <f>IFERROR(Data!L65/Data!K65,0)</f>
        <v/>
      </c>
      <c r="F65" s="65">
        <f>Data!F65-Data!E65</f>
        <v/>
      </c>
      <c r="G65" s="21">
        <f>IFERROR(Data!G65/Data!F65,0)</f>
        <v/>
      </c>
      <c r="H65" s="22">
        <f>IF(ABS(G65-Data!I65)&lt;Summary!$B$4,"OK","CHECK")</f>
        <v/>
      </c>
      <c r="I65" s="1" t="n"/>
      <c r="J65" s="1" t="n"/>
    </row>
    <row r="66">
      <c r="A66" s="17">
        <f>Data!A66</f>
        <v/>
      </c>
      <c r="B66" s="63">
        <f>Data!B66</f>
        <v/>
      </c>
      <c r="C66" s="17">
        <f>Data!D66</f>
        <v/>
      </c>
      <c r="D66" s="64">
        <f>IFERROR(Data!G66/Data!H66,0)</f>
        <v/>
      </c>
      <c r="E66" s="64">
        <f>IFERROR(Data!L66/Data!K66,0)</f>
        <v/>
      </c>
      <c r="F66" s="65">
        <f>Data!F66-Data!E66</f>
        <v/>
      </c>
      <c r="G66" s="21">
        <f>IFERROR(Data!G66/Data!F66,0)</f>
        <v/>
      </c>
      <c r="H66" s="22">
        <f>IF(ABS(G66-Data!I66)&lt;Summary!$B$4,"OK","CHECK")</f>
        <v/>
      </c>
      <c r="I66" s="1" t="n"/>
      <c r="J66" s="1" t="n"/>
    </row>
    <row r="67">
      <c r="A67" s="17">
        <f>Data!A67</f>
        <v/>
      </c>
      <c r="B67" s="63">
        <f>Data!B67</f>
        <v/>
      </c>
      <c r="C67" s="17">
        <f>Data!D67</f>
        <v/>
      </c>
      <c r="D67" s="64">
        <f>IFERROR(Data!G67/Data!H67,0)</f>
        <v/>
      </c>
      <c r="E67" s="64">
        <f>IFERROR(Data!L67/Data!K67,0)</f>
        <v/>
      </c>
      <c r="F67" s="65">
        <f>Data!F67-Data!E67</f>
        <v/>
      </c>
      <c r="G67" s="21">
        <f>IFERROR(Data!G67/Data!F67,0)</f>
        <v/>
      </c>
      <c r="H67" s="22">
        <f>IF(ABS(G67-Data!I67)&lt;Summary!$B$4,"OK","CHECK")</f>
        <v/>
      </c>
      <c r="I67" s="1" t="n"/>
      <c r="J67" s="1" t="n"/>
    </row>
    <row r="68">
      <c r="A68" s="17">
        <f>Data!A68</f>
        <v/>
      </c>
      <c r="B68" s="63">
        <f>Data!B68</f>
        <v/>
      </c>
      <c r="C68" s="17">
        <f>Data!D68</f>
        <v/>
      </c>
      <c r="D68" s="64">
        <f>IFERROR(Data!G68/Data!H68,0)</f>
        <v/>
      </c>
      <c r="E68" s="64">
        <f>IFERROR(Data!L68/Data!K68,0)</f>
        <v/>
      </c>
      <c r="F68" s="65">
        <f>Data!F68-Data!E68</f>
        <v/>
      </c>
      <c r="G68" s="21">
        <f>IFERROR(Data!G68/Data!F68,0)</f>
        <v/>
      </c>
      <c r="H68" s="22">
        <f>IF(ABS(G68-Data!I68)&lt;Summary!$B$4,"OK","CHECK")</f>
        <v/>
      </c>
      <c r="I68" s="1" t="n"/>
      <c r="J68" s="1" t="n"/>
    </row>
    <row r="69">
      <c r="A69" s="17">
        <f>Data!A69</f>
        <v/>
      </c>
      <c r="B69" s="63">
        <f>Data!B69</f>
        <v/>
      </c>
      <c r="C69" s="17">
        <f>Data!D69</f>
        <v/>
      </c>
      <c r="D69" s="64">
        <f>IFERROR(Data!G69/Data!H69,0)</f>
        <v/>
      </c>
      <c r="E69" s="64">
        <f>IFERROR(Data!L69/Data!K69,0)</f>
        <v/>
      </c>
      <c r="F69" s="65">
        <f>Data!F69-Data!E69</f>
        <v/>
      </c>
      <c r="G69" s="21">
        <f>IFERROR(Data!G69/Data!F69,0)</f>
        <v/>
      </c>
      <c r="H69" s="22">
        <f>IF(ABS(G69-Data!I69)&lt;Summary!$B$4,"OK","CHECK")</f>
        <v/>
      </c>
      <c r="I69" s="1" t="n"/>
      <c r="J69" s="1" t="n"/>
    </row>
    <row r="70">
      <c r="A70" s="17">
        <f>Data!A70</f>
        <v/>
      </c>
      <c r="B70" s="63">
        <f>Data!B70</f>
        <v/>
      </c>
      <c r="C70" s="17">
        <f>Data!D70</f>
        <v/>
      </c>
      <c r="D70" s="64">
        <f>IFERROR(Data!G70/Data!H70,0)</f>
        <v/>
      </c>
      <c r="E70" s="64">
        <f>IFERROR(Data!L70/Data!K70,0)</f>
        <v/>
      </c>
      <c r="F70" s="65">
        <f>Data!F70-Data!E70</f>
        <v/>
      </c>
      <c r="G70" s="21">
        <f>IFERROR(Data!G70/Data!F70,0)</f>
        <v/>
      </c>
      <c r="H70" s="22">
        <f>IF(ABS(G70-Data!I70)&lt;Summary!$B$4,"OK","CHECK")</f>
        <v/>
      </c>
      <c r="I70" s="1" t="n"/>
      <c r="J70" s="1" t="n"/>
    </row>
    <row r="71">
      <c r="A71" s="17">
        <f>Data!A71</f>
        <v/>
      </c>
      <c r="B71" s="63">
        <f>Data!B71</f>
        <v/>
      </c>
      <c r="C71" s="17">
        <f>Data!D71</f>
        <v/>
      </c>
      <c r="D71" s="64">
        <f>IFERROR(Data!G71/Data!H71,0)</f>
        <v/>
      </c>
      <c r="E71" s="64">
        <f>IFERROR(Data!L71/Data!K71,0)</f>
        <v/>
      </c>
      <c r="F71" s="65">
        <f>Data!F71-Data!E71</f>
        <v/>
      </c>
      <c r="G71" s="21">
        <f>IFERROR(Data!G71/Data!F71,0)</f>
        <v/>
      </c>
      <c r="H71" s="22">
        <f>IF(ABS(G71-Data!I71)&lt;Summary!$B$4,"OK","CHECK")</f>
        <v/>
      </c>
      <c r="I71" s="1" t="n"/>
      <c r="J71" s="1" t="n"/>
    </row>
    <row r="72">
      <c r="A72" s="17">
        <f>Data!A72</f>
        <v/>
      </c>
      <c r="B72" s="63">
        <f>Data!B72</f>
        <v/>
      </c>
      <c r="C72" s="17">
        <f>Data!D72</f>
        <v/>
      </c>
      <c r="D72" s="64">
        <f>IFERROR(Data!G72/Data!H72,0)</f>
        <v/>
      </c>
      <c r="E72" s="64">
        <f>IFERROR(Data!L72/Data!K72,0)</f>
        <v/>
      </c>
      <c r="F72" s="65">
        <f>Data!F72-Data!E72</f>
        <v/>
      </c>
      <c r="G72" s="21">
        <f>IFERROR(Data!G72/Data!F72,0)</f>
        <v/>
      </c>
      <c r="H72" s="22">
        <f>IF(ABS(G72-Data!I72)&lt;Summary!$B$4,"OK","CHECK")</f>
        <v/>
      </c>
      <c r="I72" s="1" t="n"/>
      <c r="J72" s="1" t="n"/>
    </row>
    <row r="73">
      <c r="A73" s="17">
        <f>Data!A73</f>
        <v/>
      </c>
      <c r="B73" s="63">
        <f>Data!B73</f>
        <v/>
      </c>
      <c r="C73" s="17">
        <f>Data!D73</f>
        <v/>
      </c>
      <c r="D73" s="64">
        <f>IFERROR(Data!G73/Data!H73,0)</f>
        <v/>
      </c>
      <c r="E73" s="64">
        <f>IFERROR(Data!L73/Data!K73,0)</f>
        <v/>
      </c>
      <c r="F73" s="65">
        <f>Data!F73-Data!E73</f>
        <v/>
      </c>
      <c r="G73" s="21">
        <f>IFERROR(Data!G73/Data!F73,0)</f>
        <v/>
      </c>
      <c r="H73" s="22">
        <f>IF(ABS(G73-Data!I73)&lt;Summary!$B$4,"OK","CHECK")</f>
        <v/>
      </c>
      <c r="I73" s="1" t="n"/>
      <c r="J73" s="1" t="n"/>
    </row>
    <row r="74">
      <c r="A74" s="17">
        <f>Data!A74</f>
        <v/>
      </c>
      <c r="B74" s="63">
        <f>Data!B74</f>
        <v/>
      </c>
      <c r="C74" s="17">
        <f>Data!D74</f>
        <v/>
      </c>
      <c r="D74" s="64">
        <f>IFERROR(Data!G74/Data!H74,0)</f>
        <v/>
      </c>
      <c r="E74" s="64">
        <f>IFERROR(Data!L74/Data!K74,0)</f>
        <v/>
      </c>
      <c r="F74" s="65">
        <f>Data!F74-Data!E74</f>
        <v/>
      </c>
      <c r="G74" s="21">
        <f>IFERROR(Data!G74/Data!F74,0)</f>
        <v/>
      </c>
      <c r="H74" s="22">
        <f>IF(ABS(G74-Data!I74)&lt;Summary!$B$4,"OK","CHECK")</f>
        <v/>
      </c>
      <c r="I74" s="1" t="n"/>
      <c r="J74" s="1" t="n"/>
    </row>
    <row r="75">
      <c r="A75" s="17">
        <f>Data!A75</f>
        <v/>
      </c>
      <c r="B75" s="63">
        <f>Data!B75</f>
        <v/>
      </c>
      <c r="C75" s="17">
        <f>Data!D75</f>
        <v/>
      </c>
      <c r="D75" s="64">
        <f>IFERROR(Data!G75/Data!H75,0)</f>
        <v/>
      </c>
      <c r="E75" s="64">
        <f>IFERROR(Data!L75/Data!K75,0)</f>
        <v/>
      </c>
      <c r="F75" s="65">
        <f>Data!F75-Data!E75</f>
        <v/>
      </c>
      <c r="G75" s="21">
        <f>IFERROR(Data!G75/Data!F75,0)</f>
        <v/>
      </c>
      <c r="H75" s="22">
        <f>IF(ABS(G75-Data!I75)&lt;Summary!$B$4,"OK","CHECK")</f>
        <v/>
      </c>
      <c r="I75" s="1" t="n"/>
      <c r="J75" s="1" t="n"/>
    </row>
    <row r="76">
      <c r="A76" s="17">
        <f>Data!A76</f>
        <v/>
      </c>
      <c r="B76" s="63">
        <f>Data!B76</f>
        <v/>
      </c>
      <c r="C76" s="17">
        <f>Data!D76</f>
        <v/>
      </c>
      <c r="D76" s="64">
        <f>IFERROR(Data!G76/Data!H76,0)</f>
        <v/>
      </c>
      <c r="E76" s="64">
        <f>IFERROR(Data!L76/Data!K76,0)</f>
        <v/>
      </c>
      <c r="F76" s="65">
        <f>Data!F76-Data!E76</f>
        <v/>
      </c>
      <c r="G76" s="21">
        <f>IFERROR(Data!G76/Data!F76,0)</f>
        <v/>
      </c>
      <c r="H76" s="22">
        <f>IF(ABS(G76-Data!I76)&lt;Summary!$B$4,"OK","CHECK")</f>
        <v/>
      </c>
      <c r="I76" s="1" t="n"/>
      <c r="J76" s="1" t="n"/>
    </row>
    <row r="77">
      <c r="A77" s="17">
        <f>Data!A77</f>
        <v/>
      </c>
      <c r="B77" s="63">
        <f>Data!B77</f>
        <v/>
      </c>
      <c r="C77" s="17">
        <f>Data!D77</f>
        <v/>
      </c>
      <c r="D77" s="64">
        <f>IFERROR(Data!G77/Data!H77,0)</f>
        <v/>
      </c>
      <c r="E77" s="64">
        <f>IFERROR(Data!L77/Data!K77,0)</f>
        <v/>
      </c>
      <c r="F77" s="65">
        <f>Data!F77-Data!E77</f>
        <v/>
      </c>
      <c r="G77" s="21">
        <f>IFERROR(Data!G77/Data!F77,0)</f>
        <v/>
      </c>
      <c r="H77" s="22">
        <f>IF(ABS(G77-Data!I77)&lt;Summary!$B$4,"OK","CHECK")</f>
        <v/>
      </c>
      <c r="I77" s="1" t="n"/>
      <c r="J77" s="1" t="n"/>
    </row>
    <row r="78">
      <c r="A78" s="17">
        <f>Data!A78</f>
        <v/>
      </c>
      <c r="B78" s="63">
        <f>Data!B78</f>
        <v/>
      </c>
      <c r="C78" s="17">
        <f>Data!D78</f>
        <v/>
      </c>
      <c r="D78" s="64">
        <f>IFERROR(Data!G78/Data!H78,0)</f>
        <v/>
      </c>
      <c r="E78" s="64">
        <f>IFERROR(Data!L78/Data!K78,0)</f>
        <v/>
      </c>
      <c r="F78" s="65">
        <f>Data!F78-Data!E78</f>
        <v/>
      </c>
      <c r="G78" s="21">
        <f>IFERROR(Data!G78/Data!F78,0)</f>
        <v/>
      </c>
      <c r="H78" s="22">
        <f>IF(ABS(G78-Data!I78)&lt;Summary!$B$4,"OK","CHECK")</f>
        <v/>
      </c>
      <c r="I78" s="1" t="n"/>
      <c r="J78" s="1" t="n"/>
    </row>
    <row r="79">
      <c r="A79" s="17">
        <f>Data!A79</f>
        <v/>
      </c>
      <c r="B79" s="63">
        <f>Data!B79</f>
        <v/>
      </c>
      <c r="C79" s="17">
        <f>Data!D79</f>
        <v/>
      </c>
      <c r="D79" s="64">
        <f>IFERROR(Data!G79/Data!H79,0)</f>
        <v/>
      </c>
      <c r="E79" s="64">
        <f>IFERROR(Data!L79/Data!K79,0)</f>
        <v/>
      </c>
      <c r="F79" s="65">
        <f>Data!F79-Data!E79</f>
        <v/>
      </c>
      <c r="G79" s="21">
        <f>IFERROR(Data!G79/Data!F79,0)</f>
        <v/>
      </c>
      <c r="H79" s="22">
        <f>IF(ABS(G79-Data!I79)&lt;Summary!$B$4,"OK","CHECK")</f>
        <v/>
      </c>
      <c r="I79" s="1" t="n"/>
      <c r="J79" s="1" t="n"/>
    </row>
    <row r="80">
      <c r="A80" s="17">
        <f>Data!A80</f>
        <v/>
      </c>
      <c r="B80" s="63">
        <f>Data!B80</f>
        <v/>
      </c>
      <c r="C80" s="17">
        <f>Data!D80</f>
        <v/>
      </c>
      <c r="D80" s="64">
        <f>IFERROR(Data!G80/Data!H80,0)</f>
        <v/>
      </c>
      <c r="E80" s="64">
        <f>IFERROR(Data!L80/Data!K80,0)</f>
        <v/>
      </c>
      <c r="F80" s="65">
        <f>Data!F80-Data!E80</f>
        <v/>
      </c>
      <c r="G80" s="21">
        <f>IFERROR(Data!G80/Data!F80,0)</f>
        <v/>
      </c>
      <c r="H80" s="22">
        <f>IF(ABS(G80-Data!I80)&lt;Summary!$B$4,"OK","CHECK")</f>
        <v/>
      </c>
      <c r="I80" s="1" t="n"/>
      <c r="J80" s="1" t="n"/>
    </row>
    <row r="81">
      <c r="A81" s="17">
        <f>Data!A81</f>
        <v/>
      </c>
      <c r="B81" s="63">
        <f>Data!B81</f>
        <v/>
      </c>
      <c r="C81" s="17">
        <f>Data!D81</f>
        <v/>
      </c>
      <c r="D81" s="64">
        <f>IFERROR(Data!G81/Data!H81,0)</f>
        <v/>
      </c>
      <c r="E81" s="64">
        <f>IFERROR(Data!L81/Data!K81,0)</f>
        <v/>
      </c>
      <c r="F81" s="65">
        <f>Data!F81-Data!E81</f>
        <v/>
      </c>
      <c r="G81" s="21">
        <f>IFERROR(Data!G81/Data!F81,0)</f>
        <v/>
      </c>
      <c r="H81" s="22">
        <f>IF(ABS(G81-Data!I81)&lt;Summary!$B$4,"OK","CHECK")</f>
        <v/>
      </c>
      <c r="I81" s="1" t="n"/>
      <c r="J81" s="1" t="n"/>
    </row>
    <row r="82">
      <c r="A82" s="17">
        <f>Data!A82</f>
        <v/>
      </c>
      <c r="B82" s="63">
        <f>Data!B82</f>
        <v/>
      </c>
      <c r="C82" s="17">
        <f>Data!D82</f>
        <v/>
      </c>
      <c r="D82" s="64">
        <f>IFERROR(Data!G82/Data!H82,0)</f>
        <v/>
      </c>
      <c r="E82" s="64">
        <f>IFERROR(Data!L82/Data!K82,0)</f>
        <v/>
      </c>
      <c r="F82" s="65">
        <f>Data!F82-Data!E82</f>
        <v/>
      </c>
      <c r="G82" s="21">
        <f>IFERROR(Data!G82/Data!F82,0)</f>
        <v/>
      </c>
      <c r="H82" s="22">
        <f>IF(ABS(G82-Data!I82)&lt;Summary!$B$4,"OK","CHECK")</f>
        <v/>
      </c>
      <c r="I82" s="1" t="n"/>
      <c r="J82" s="1" t="n"/>
    </row>
    <row r="83">
      <c r="A83" s="17">
        <f>Data!A83</f>
        <v/>
      </c>
      <c r="B83" s="63">
        <f>Data!B83</f>
        <v/>
      </c>
      <c r="C83" s="17">
        <f>Data!D83</f>
        <v/>
      </c>
      <c r="D83" s="64">
        <f>IFERROR(Data!G83/Data!H83,0)</f>
        <v/>
      </c>
      <c r="E83" s="64">
        <f>IFERROR(Data!L83/Data!K83,0)</f>
        <v/>
      </c>
      <c r="F83" s="65">
        <f>Data!F83-Data!E83</f>
        <v/>
      </c>
      <c r="G83" s="21">
        <f>IFERROR(Data!G83/Data!F83,0)</f>
        <v/>
      </c>
      <c r="H83" s="22">
        <f>IF(ABS(G83-Data!I83)&lt;Summary!$B$4,"OK","CHECK")</f>
        <v/>
      </c>
      <c r="I83" s="1" t="n"/>
      <c r="J83" s="1" t="n"/>
    </row>
    <row r="84">
      <c r="A84" s="17">
        <f>Data!A84</f>
        <v/>
      </c>
      <c r="B84" s="63">
        <f>Data!B84</f>
        <v/>
      </c>
      <c r="C84" s="17">
        <f>Data!D84</f>
        <v/>
      </c>
      <c r="D84" s="64">
        <f>IFERROR(Data!G84/Data!H84,0)</f>
        <v/>
      </c>
      <c r="E84" s="64">
        <f>IFERROR(Data!L84/Data!K84,0)</f>
        <v/>
      </c>
      <c r="F84" s="65">
        <f>Data!F84-Data!E84</f>
        <v/>
      </c>
      <c r="G84" s="21">
        <f>IFERROR(Data!G84/Data!F84,0)</f>
        <v/>
      </c>
      <c r="H84" s="22">
        <f>IF(ABS(G84-Data!I84)&lt;Summary!$B$4,"OK","CHECK")</f>
        <v/>
      </c>
      <c r="I84" s="1" t="n"/>
      <c r="J84" s="1" t="n"/>
    </row>
    <row r="85">
      <c r="A85" s="17">
        <f>Data!A85</f>
        <v/>
      </c>
      <c r="B85" s="63">
        <f>Data!B85</f>
        <v/>
      </c>
      <c r="C85" s="17">
        <f>Data!D85</f>
        <v/>
      </c>
      <c r="D85" s="64">
        <f>IFERROR(Data!G85/Data!H85,0)</f>
        <v/>
      </c>
      <c r="E85" s="64">
        <f>IFERROR(Data!L85/Data!K85,0)</f>
        <v/>
      </c>
      <c r="F85" s="65">
        <f>Data!F85-Data!E85</f>
        <v/>
      </c>
      <c r="G85" s="21">
        <f>IFERROR(Data!G85/Data!F85,0)</f>
        <v/>
      </c>
      <c r="H85" s="22">
        <f>IF(ABS(G85-Data!I85)&lt;Summary!$B$4,"OK","CHECK")</f>
        <v/>
      </c>
      <c r="I85" s="1" t="n"/>
      <c r="J85" s="1" t="n"/>
    </row>
    <row r="86">
      <c r="A86" s="17">
        <f>Data!A86</f>
        <v/>
      </c>
      <c r="B86" s="63">
        <f>Data!B86</f>
        <v/>
      </c>
      <c r="C86" s="17">
        <f>Data!D86</f>
        <v/>
      </c>
      <c r="D86" s="64">
        <f>IFERROR(Data!G86/Data!H86,0)</f>
        <v/>
      </c>
      <c r="E86" s="64">
        <f>IFERROR(Data!L86/Data!K86,0)</f>
        <v/>
      </c>
      <c r="F86" s="65">
        <f>Data!F86-Data!E86</f>
        <v/>
      </c>
      <c r="G86" s="21">
        <f>IFERROR(Data!G86/Data!F86,0)</f>
        <v/>
      </c>
      <c r="H86" s="22">
        <f>IF(ABS(G86-Data!I86)&lt;Summary!$B$4,"OK","CHECK")</f>
        <v/>
      </c>
      <c r="I86" s="1" t="n"/>
      <c r="J86" s="1" t="n"/>
    </row>
    <row r="87">
      <c r="A87" s="17">
        <f>Data!A87</f>
        <v/>
      </c>
      <c r="B87" s="63">
        <f>Data!B87</f>
        <v/>
      </c>
      <c r="C87" s="17">
        <f>Data!D87</f>
        <v/>
      </c>
      <c r="D87" s="64">
        <f>IFERROR(Data!G87/Data!H87,0)</f>
        <v/>
      </c>
      <c r="E87" s="64">
        <f>IFERROR(Data!L87/Data!K87,0)</f>
        <v/>
      </c>
      <c r="F87" s="65">
        <f>Data!F87-Data!E87</f>
        <v/>
      </c>
      <c r="G87" s="21">
        <f>IFERROR(Data!G87/Data!F87,0)</f>
        <v/>
      </c>
      <c r="H87" s="22">
        <f>IF(ABS(G87-Data!I87)&lt;Summary!$B$4,"OK","CHECK")</f>
        <v/>
      </c>
      <c r="I87" s="1" t="n"/>
      <c r="J87" s="1" t="n"/>
    </row>
    <row r="88">
      <c r="A88" s="17">
        <f>Data!A88</f>
        <v/>
      </c>
      <c r="B88" s="63">
        <f>Data!B88</f>
        <v/>
      </c>
      <c r="C88" s="17">
        <f>Data!D88</f>
        <v/>
      </c>
      <c r="D88" s="64">
        <f>IFERROR(Data!G88/Data!H88,0)</f>
        <v/>
      </c>
      <c r="E88" s="64">
        <f>IFERROR(Data!L88/Data!K88,0)</f>
        <v/>
      </c>
      <c r="F88" s="65">
        <f>Data!F88-Data!E88</f>
        <v/>
      </c>
      <c r="G88" s="21">
        <f>IFERROR(Data!G88/Data!F88,0)</f>
        <v/>
      </c>
      <c r="H88" s="22">
        <f>IF(ABS(G88-Data!I88)&lt;Summary!$B$4,"OK","CHECK")</f>
        <v/>
      </c>
      <c r="I88" s="1" t="n"/>
      <c r="J88" s="1" t="n"/>
    </row>
    <row r="89">
      <c r="A89" s="17">
        <f>Data!A89</f>
        <v/>
      </c>
      <c r="B89" s="63">
        <f>Data!B89</f>
        <v/>
      </c>
      <c r="C89" s="17">
        <f>Data!D89</f>
        <v/>
      </c>
      <c r="D89" s="64">
        <f>IFERROR(Data!G89/Data!H89,0)</f>
        <v/>
      </c>
      <c r="E89" s="64">
        <f>IFERROR(Data!L89/Data!K89,0)</f>
        <v/>
      </c>
      <c r="F89" s="65">
        <f>Data!F89-Data!E89</f>
        <v/>
      </c>
      <c r="G89" s="21">
        <f>IFERROR(Data!G89/Data!F89,0)</f>
        <v/>
      </c>
      <c r="H89" s="22">
        <f>IF(ABS(G89-Data!I89)&lt;Summary!$B$4,"OK","CHECK")</f>
        <v/>
      </c>
      <c r="I89" s="1" t="n"/>
      <c r="J89" s="1" t="n"/>
    </row>
    <row r="90">
      <c r="A90" s="17">
        <f>Data!A90</f>
        <v/>
      </c>
      <c r="B90" s="63">
        <f>Data!B90</f>
        <v/>
      </c>
      <c r="C90" s="17">
        <f>Data!D90</f>
        <v/>
      </c>
      <c r="D90" s="64">
        <f>IFERROR(Data!G90/Data!H90,0)</f>
        <v/>
      </c>
      <c r="E90" s="64">
        <f>IFERROR(Data!L90/Data!K90,0)</f>
        <v/>
      </c>
      <c r="F90" s="65">
        <f>Data!F90-Data!E90</f>
        <v/>
      </c>
      <c r="G90" s="21">
        <f>IFERROR(Data!G90/Data!F90,0)</f>
        <v/>
      </c>
      <c r="H90" s="22">
        <f>IF(ABS(G90-Data!I90)&lt;Summary!$B$4,"OK","CHECK")</f>
        <v/>
      </c>
      <c r="I90" s="1" t="n"/>
      <c r="J90" s="1" t="n"/>
    </row>
    <row r="91">
      <c r="A91" s="17">
        <f>Data!A91</f>
        <v/>
      </c>
      <c r="B91" s="63">
        <f>Data!B91</f>
        <v/>
      </c>
      <c r="C91" s="17">
        <f>Data!D91</f>
        <v/>
      </c>
      <c r="D91" s="64">
        <f>IFERROR(Data!G91/Data!H91,0)</f>
        <v/>
      </c>
      <c r="E91" s="64">
        <f>IFERROR(Data!L91/Data!K91,0)</f>
        <v/>
      </c>
      <c r="F91" s="65">
        <f>Data!F91-Data!E91</f>
        <v/>
      </c>
      <c r="G91" s="21">
        <f>IFERROR(Data!G91/Data!F91,0)</f>
        <v/>
      </c>
      <c r="H91" s="22">
        <f>IF(ABS(G91-Data!I91)&lt;Summary!$B$4,"OK","CHECK")</f>
        <v/>
      </c>
      <c r="I91" s="1" t="n"/>
      <c r="J91" s="1" t="n"/>
    </row>
    <row r="92">
      <c r="A92" s="17">
        <f>Data!A92</f>
        <v/>
      </c>
      <c r="B92" s="63">
        <f>Data!B92</f>
        <v/>
      </c>
      <c r="C92" s="17">
        <f>Data!D92</f>
        <v/>
      </c>
      <c r="D92" s="64">
        <f>IFERROR(Data!G92/Data!H92,0)</f>
        <v/>
      </c>
      <c r="E92" s="64">
        <f>IFERROR(Data!L92/Data!K92,0)</f>
        <v/>
      </c>
      <c r="F92" s="65">
        <f>Data!F92-Data!E92</f>
        <v/>
      </c>
      <c r="G92" s="21">
        <f>IFERROR(Data!G92/Data!F92,0)</f>
        <v/>
      </c>
      <c r="H92" s="22">
        <f>IF(ABS(G92-Data!I92)&lt;Summary!$B$4,"OK","CHECK")</f>
        <v/>
      </c>
      <c r="I92" s="1" t="n"/>
      <c r="J92" s="1" t="n"/>
    </row>
    <row r="93">
      <c r="A93" s="17">
        <f>Data!A93</f>
        <v/>
      </c>
      <c r="B93" s="63">
        <f>Data!B93</f>
        <v/>
      </c>
      <c r="C93" s="17">
        <f>Data!D93</f>
        <v/>
      </c>
      <c r="D93" s="64">
        <f>IFERROR(Data!G93/Data!H93,0)</f>
        <v/>
      </c>
      <c r="E93" s="64">
        <f>IFERROR(Data!L93/Data!K93,0)</f>
        <v/>
      </c>
      <c r="F93" s="65">
        <f>Data!F93-Data!E93</f>
        <v/>
      </c>
      <c r="G93" s="21">
        <f>IFERROR(Data!G93/Data!F93,0)</f>
        <v/>
      </c>
      <c r="H93" s="22">
        <f>IF(ABS(G93-Data!I93)&lt;Summary!$B$4,"OK","CHECK")</f>
        <v/>
      </c>
      <c r="I93" s="1" t="n"/>
      <c r="J93" s="1" t="n"/>
    </row>
    <row r="94">
      <c r="A94" s="17">
        <f>Data!A94</f>
        <v/>
      </c>
      <c r="B94" s="63">
        <f>Data!B94</f>
        <v/>
      </c>
      <c r="C94" s="17">
        <f>Data!D94</f>
        <v/>
      </c>
      <c r="D94" s="64">
        <f>IFERROR(Data!G94/Data!H94,0)</f>
        <v/>
      </c>
      <c r="E94" s="64">
        <f>IFERROR(Data!L94/Data!K94,0)</f>
        <v/>
      </c>
      <c r="F94" s="65">
        <f>Data!F94-Data!E94</f>
        <v/>
      </c>
      <c r="G94" s="21">
        <f>IFERROR(Data!G94/Data!F94,0)</f>
        <v/>
      </c>
      <c r="H94" s="22">
        <f>IF(ABS(G94-Data!I94)&lt;Summary!$B$4,"OK","CHECK")</f>
        <v/>
      </c>
      <c r="I94" s="1" t="n"/>
      <c r="J94" s="1" t="n"/>
    </row>
    <row r="95">
      <c r="A95" s="17">
        <f>Data!A95</f>
        <v/>
      </c>
      <c r="B95" s="63">
        <f>Data!B95</f>
        <v/>
      </c>
      <c r="C95" s="17">
        <f>Data!D95</f>
        <v/>
      </c>
      <c r="D95" s="64">
        <f>IFERROR(Data!G95/Data!H95,0)</f>
        <v/>
      </c>
      <c r="E95" s="64">
        <f>IFERROR(Data!L95/Data!K95,0)</f>
        <v/>
      </c>
      <c r="F95" s="65">
        <f>Data!F95-Data!E95</f>
        <v/>
      </c>
      <c r="G95" s="21">
        <f>IFERROR(Data!G95/Data!F95,0)</f>
        <v/>
      </c>
      <c r="H95" s="22">
        <f>IF(ABS(G95-Data!I95)&lt;Summary!$B$4,"OK","CHECK")</f>
        <v/>
      </c>
      <c r="I95" s="1" t="n"/>
      <c r="J95" s="1" t="n"/>
    </row>
    <row r="96">
      <c r="A96" s="17">
        <f>Data!A96</f>
        <v/>
      </c>
      <c r="B96" s="63">
        <f>Data!B96</f>
        <v/>
      </c>
      <c r="C96" s="17">
        <f>Data!D96</f>
        <v/>
      </c>
      <c r="D96" s="64">
        <f>IFERROR(Data!G96/Data!H96,0)</f>
        <v/>
      </c>
      <c r="E96" s="64">
        <f>IFERROR(Data!L96/Data!K96,0)</f>
        <v/>
      </c>
      <c r="F96" s="65">
        <f>Data!F96-Data!E96</f>
        <v/>
      </c>
      <c r="G96" s="21">
        <f>IFERROR(Data!G96/Data!F96,0)</f>
        <v/>
      </c>
      <c r="H96" s="22">
        <f>IF(ABS(G96-Data!I96)&lt;Summary!$B$4,"OK","CHECK")</f>
        <v/>
      </c>
      <c r="I96" s="1" t="n"/>
      <c r="J96" s="1" t="n"/>
    </row>
    <row r="97">
      <c r="A97" s="17">
        <f>Data!A97</f>
        <v/>
      </c>
      <c r="B97" s="63">
        <f>Data!B97</f>
        <v/>
      </c>
      <c r="C97" s="17">
        <f>Data!D97</f>
        <v/>
      </c>
      <c r="D97" s="64">
        <f>IFERROR(Data!G97/Data!H97,0)</f>
        <v/>
      </c>
      <c r="E97" s="64">
        <f>IFERROR(Data!L97/Data!K97,0)</f>
        <v/>
      </c>
      <c r="F97" s="65">
        <f>Data!F97-Data!E97</f>
        <v/>
      </c>
      <c r="G97" s="21">
        <f>IFERROR(Data!G97/Data!F97,0)</f>
        <v/>
      </c>
      <c r="H97" s="22">
        <f>IF(ABS(G97-Data!I97)&lt;Summary!$B$4,"OK","CHECK")</f>
        <v/>
      </c>
      <c r="I97" s="1" t="n"/>
      <c r="J97" s="1" t="n"/>
    </row>
    <row r="98">
      <c r="A98" s="17">
        <f>Data!A98</f>
        <v/>
      </c>
      <c r="B98" s="63">
        <f>Data!B98</f>
        <v/>
      </c>
      <c r="C98" s="17">
        <f>Data!D98</f>
        <v/>
      </c>
      <c r="D98" s="64">
        <f>IFERROR(Data!G98/Data!H98,0)</f>
        <v/>
      </c>
      <c r="E98" s="64">
        <f>IFERROR(Data!L98/Data!K98,0)</f>
        <v/>
      </c>
      <c r="F98" s="65">
        <f>Data!F98-Data!E98</f>
        <v/>
      </c>
      <c r="G98" s="21">
        <f>IFERROR(Data!G98/Data!F98,0)</f>
        <v/>
      </c>
      <c r="H98" s="22">
        <f>IF(ABS(G98-Data!I98)&lt;Summary!$B$4,"OK","CHECK")</f>
        <v/>
      </c>
      <c r="I98" s="1" t="n"/>
      <c r="J98" s="1" t="n"/>
    </row>
    <row r="99">
      <c r="A99" s="17">
        <f>Data!A99</f>
        <v/>
      </c>
      <c r="B99" s="63">
        <f>Data!B99</f>
        <v/>
      </c>
      <c r="C99" s="17">
        <f>Data!D99</f>
        <v/>
      </c>
      <c r="D99" s="64">
        <f>IFERROR(Data!G99/Data!H99,0)</f>
        <v/>
      </c>
      <c r="E99" s="64">
        <f>IFERROR(Data!L99/Data!K99,0)</f>
        <v/>
      </c>
      <c r="F99" s="65">
        <f>Data!F99-Data!E99</f>
        <v/>
      </c>
      <c r="G99" s="21">
        <f>IFERROR(Data!G99/Data!F99,0)</f>
        <v/>
      </c>
      <c r="H99" s="22">
        <f>IF(ABS(G99-Data!I99)&lt;Summary!$B$4,"OK","CHECK")</f>
        <v/>
      </c>
      <c r="I99" s="1" t="n"/>
      <c r="J99" s="1" t="n"/>
    </row>
    <row r="100">
      <c r="A100" s="17">
        <f>Data!A100</f>
        <v/>
      </c>
      <c r="B100" s="63">
        <f>Data!B100</f>
        <v/>
      </c>
      <c r="C100" s="17">
        <f>Data!D100</f>
        <v/>
      </c>
      <c r="D100" s="64">
        <f>IFERROR(Data!G100/Data!H100,0)</f>
        <v/>
      </c>
      <c r="E100" s="64">
        <f>IFERROR(Data!L100/Data!K100,0)</f>
        <v/>
      </c>
      <c r="F100" s="65">
        <f>Data!F100-Data!E100</f>
        <v/>
      </c>
      <c r="G100" s="21">
        <f>IFERROR(Data!G100/Data!F100,0)</f>
        <v/>
      </c>
      <c r="H100" s="22">
        <f>IF(ABS(G100-Data!I100)&lt;Summary!$B$4,"OK","CHECK")</f>
        <v/>
      </c>
      <c r="I100" s="1" t="n"/>
      <c r="J100" s="1" t="n"/>
    </row>
    <row r="101">
      <c r="A101" s="17">
        <f>Data!A101</f>
        <v/>
      </c>
      <c r="B101" s="63">
        <f>Data!B101</f>
        <v/>
      </c>
      <c r="C101" s="17">
        <f>Data!D101</f>
        <v/>
      </c>
      <c r="D101" s="64">
        <f>IFERROR(Data!G101/Data!H101,0)</f>
        <v/>
      </c>
      <c r="E101" s="64">
        <f>IFERROR(Data!L101/Data!K101,0)</f>
        <v/>
      </c>
      <c r="F101" s="65">
        <f>Data!F101-Data!E101</f>
        <v/>
      </c>
      <c r="G101" s="21">
        <f>IFERROR(Data!G101/Data!F101,0)</f>
        <v/>
      </c>
      <c r="H101" s="22">
        <f>IF(ABS(G101-Data!I101)&lt;Summary!$B$4,"OK","CHECK")</f>
        <v/>
      </c>
      <c r="I101" s="1" t="n"/>
      <c r="J101" s="1" t="n"/>
    </row>
    <row r="102">
      <c r="A102" s="17">
        <f>Data!A102</f>
        <v/>
      </c>
      <c r="B102" s="63">
        <f>Data!B102</f>
        <v/>
      </c>
      <c r="C102" s="17">
        <f>Data!D102</f>
        <v/>
      </c>
      <c r="D102" s="64">
        <f>IFERROR(Data!G102/Data!H102,0)</f>
        <v/>
      </c>
      <c r="E102" s="64">
        <f>IFERROR(Data!L102/Data!K102,0)</f>
        <v/>
      </c>
      <c r="F102" s="65">
        <f>Data!F102-Data!E102</f>
        <v/>
      </c>
      <c r="G102" s="21">
        <f>IFERROR(Data!G102/Data!F102,0)</f>
        <v/>
      </c>
      <c r="H102" s="22">
        <f>IF(ABS(G102-Data!I102)&lt;Summary!$B$4,"OK","CHECK")</f>
        <v/>
      </c>
      <c r="I102" s="1" t="n"/>
      <c r="J102" s="1" t="n"/>
    </row>
    <row r="103">
      <c r="A103" s="17">
        <f>Data!A103</f>
        <v/>
      </c>
      <c r="B103" s="63">
        <f>Data!B103</f>
        <v/>
      </c>
      <c r="C103" s="17">
        <f>Data!D103</f>
        <v/>
      </c>
      <c r="D103" s="64">
        <f>IFERROR(Data!G103/Data!H103,0)</f>
        <v/>
      </c>
      <c r="E103" s="64">
        <f>IFERROR(Data!L103/Data!K103,0)</f>
        <v/>
      </c>
      <c r="F103" s="65">
        <f>Data!F103-Data!E103</f>
        <v/>
      </c>
      <c r="G103" s="21">
        <f>IFERROR(Data!G103/Data!F103,0)</f>
        <v/>
      </c>
      <c r="H103" s="22">
        <f>IF(ABS(G103-Data!I103)&lt;Summary!$B$4,"OK","CHECK")</f>
        <v/>
      </c>
      <c r="I103" s="1" t="n"/>
      <c r="J103" s="1" t="n"/>
    </row>
    <row r="104">
      <c r="A104" s="17">
        <f>Data!A104</f>
        <v/>
      </c>
      <c r="B104" s="63">
        <f>Data!B104</f>
        <v/>
      </c>
      <c r="C104" s="17">
        <f>Data!D104</f>
        <v/>
      </c>
      <c r="D104" s="64">
        <f>IFERROR(Data!G104/Data!H104,0)</f>
        <v/>
      </c>
      <c r="E104" s="64">
        <f>IFERROR(Data!L104/Data!K104,0)</f>
        <v/>
      </c>
      <c r="F104" s="65">
        <f>Data!F104-Data!E104</f>
        <v/>
      </c>
      <c r="G104" s="21">
        <f>IFERROR(Data!G104/Data!F104,0)</f>
        <v/>
      </c>
      <c r="H104" s="22">
        <f>IF(ABS(G104-Data!I104)&lt;Summary!$B$4,"OK","CHECK")</f>
        <v/>
      </c>
      <c r="I104" s="1" t="n"/>
      <c r="J104" s="1" t="n"/>
    </row>
    <row r="105">
      <c r="A105" s="17">
        <f>Data!A105</f>
        <v/>
      </c>
      <c r="B105" s="63">
        <f>Data!B105</f>
        <v/>
      </c>
      <c r="C105" s="17">
        <f>Data!D105</f>
        <v/>
      </c>
      <c r="D105" s="64">
        <f>IFERROR(Data!G105/Data!H105,0)</f>
        <v/>
      </c>
      <c r="E105" s="64">
        <f>IFERROR(Data!L105/Data!K105,0)</f>
        <v/>
      </c>
      <c r="F105" s="65">
        <f>Data!F105-Data!E105</f>
        <v/>
      </c>
      <c r="G105" s="21">
        <f>IFERROR(Data!G105/Data!F105,0)</f>
        <v/>
      </c>
      <c r="H105" s="22">
        <f>IF(ABS(G105-Data!I105)&lt;Summary!$B$4,"OK","CHECK")</f>
        <v/>
      </c>
      <c r="I105" s="1" t="n"/>
      <c r="J105" s="1" t="n"/>
    </row>
    <row r="106">
      <c r="A106" s="17">
        <f>Data!A106</f>
        <v/>
      </c>
      <c r="B106" s="63">
        <f>Data!B106</f>
        <v/>
      </c>
      <c r="C106" s="17">
        <f>Data!D106</f>
        <v/>
      </c>
      <c r="D106" s="64">
        <f>IFERROR(Data!G106/Data!H106,0)</f>
        <v/>
      </c>
      <c r="E106" s="64">
        <f>IFERROR(Data!L106/Data!K106,0)</f>
        <v/>
      </c>
      <c r="F106" s="65">
        <f>Data!F106-Data!E106</f>
        <v/>
      </c>
      <c r="G106" s="21">
        <f>IFERROR(Data!G106/Data!F106,0)</f>
        <v/>
      </c>
      <c r="H106" s="22">
        <f>IF(ABS(G106-Data!I106)&lt;Summary!$B$4,"OK","CHECK")</f>
        <v/>
      </c>
      <c r="I106" s="1" t="n"/>
      <c r="J106" s="1" t="n"/>
    </row>
    <row r="107">
      <c r="A107" s="17">
        <f>Data!A107</f>
        <v/>
      </c>
      <c r="B107" s="63">
        <f>Data!B107</f>
        <v/>
      </c>
      <c r="C107" s="17">
        <f>Data!D107</f>
        <v/>
      </c>
      <c r="D107" s="64">
        <f>IFERROR(Data!G107/Data!H107,0)</f>
        <v/>
      </c>
      <c r="E107" s="64">
        <f>IFERROR(Data!L107/Data!K107,0)</f>
        <v/>
      </c>
      <c r="F107" s="65">
        <f>Data!F107-Data!E107</f>
        <v/>
      </c>
      <c r="G107" s="21">
        <f>IFERROR(Data!G107/Data!F107,0)</f>
        <v/>
      </c>
      <c r="H107" s="22">
        <f>IF(ABS(G107-Data!I107)&lt;Summary!$B$4,"OK","CHECK")</f>
        <v/>
      </c>
      <c r="I107" s="1" t="n"/>
      <c r="J107" s="1" t="n"/>
    </row>
    <row r="108">
      <c r="A108" s="17">
        <f>Data!A108</f>
        <v/>
      </c>
      <c r="B108" s="63">
        <f>Data!B108</f>
        <v/>
      </c>
      <c r="C108" s="17">
        <f>Data!D108</f>
        <v/>
      </c>
      <c r="D108" s="64">
        <f>IFERROR(Data!G108/Data!H108,0)</f>
        <v/>
      </c>
      <c r="E108" s="64">
        <f>IFERROR(Data!L108/Data!K108,0)</f>
        <v/>
      </c>
      <c r="F108" s="65">
        <f>Data!F108-Data!E108</f>
        <v/>
      </c>
      <c r="G108" s="21">
        <f>IFERROR(Data!G108/Data!F108,0)</f>
        <v/>
      </c>
      <c r="H108" s="22">
        <f>IF(ABS(G108-Data!I108)&lt;Summary!$B$4,"OK","CHECK")</f>
        <v/>
      </c>
      <c r="I108" s="1" t="n"/>
      <c r="J108" s="1" t="n"/>
    </row>
    <row r="109">
      <c r="A109" s="17">
        <f>Data!A109</f>
        <v/>
      </c>
      <c r="B109" s="63">
        <f>Data!B109</f>
        <v/>
      </c>
      <c r="C109" s="17">
        <f>Data!D109</f>
        <v/>
      </c>
      <c r="D109" s="64">
        <f>IFERROR(Data!G109/Data!H109,0)</f>
        <v/>
      </c>
      <c r="E109" s="64">
        <f>IFERROR(Data!L109/Data!K109,0)</f>
        <v/>
      </c>
      <c r="F109" s="65">
        <f>Data!F109-Data!E109</f>
        <v/>
      </c>
      <c r="G109" s="21">
        <f>IFERROR(Data!G109/Data!F109,0)</f>
        <v/>
      </c>
      <c r="H109" s="22">
        <f>IF(ABS(G109-Data!I109)&lt;Summary!$B$4,"OK","CHECK")</f>
        <v/>
      </c>
      <c r="I109" s="1" t="n"/>
      <c r="J109" s="1" t="n"/>
    </row>
    <row r="110">
      <c r="A110" s="17">
        <f>Data!A110</f>
        <v/>
      </c>
      <c r="B110" s="63">
        <f>Data!B110</f>
        <v/>
      </c>
      <c r="C110" s="17">
        <f>Data!D110</f>
        <v/>
      </c>
      <c r="D110" s="64">
        <f>IFERROR(Data!G110/Data!H110,0)</f>
        <v/>
      </c>
      <c r="E110" s="64">
        <f>IFERROR(Data!L110/Data!K110,0)</f>
        <v/>
      </c>
      <c r="F110" s="65">
        <f>Data!F110-Data!E110</f>
        <v/>
      </c>
      <c r="G110" s="21">
        <f>IFERROR(Data!G110/Data!F110,0)</f>
        <v/>
      </c>
      <c r="H110" s="22">
        <f>IF(ABS(G110-Data!I110)&lt;Summary!$B$4,"OK","CHECK")</f>
        <v/>
      </c>
      <c r="I110" s="1" t="n"/>
      <c r="J110" s="1" t="n"/>
    </row>
    <row r="111">
      <c r="A111" s="17">
        <f>Data!A111</f>
        <v/>
      </c>
      <c r="B111" s="63">
        <f>Data!B111</f>
        <v/>
      </c>
      <c r="C111" s="17">
        <f>Data!D111</f>
        <v/>
      </c>
      <c r="D111" s="64">
        <f>IFERROR(Data!G111/Data!H111,0)</f>
        <v/>
      </c>
      <c r="E111" s="64">
        <f>IFERROR(Data!L111/Data!K111,0)</f>
        <v/>
      </c>
      <c r="F111" s="65">
        <f>Data!F111-Data!E111</f>
        <v/>
      </c>
      <c r="G111" s="21">
        <f>IFERROR(Data!G111/Data!F111,0)</f>
        <v/>
      </c>
      <c r="H111" s="22">
        <f>IF(ABS(G111-Data!I111)&lt;Summary!$B$4,"OK","CHECK")</f>
        <v/>
      </c>
      <c r="I111" s="1" t="n"/>
      <c r="J111" s="1" t="n"/>
    </row>
    <row r="112">
      <c r="A112" s="17">
        <f>Data!A112</f>
        <v/>
      </c>
      <c r="B112" s="63">
        <f>Data!B112</f>
        <v/>
      </c>
      <c r="C112" s="17">
        <f>Data!D112</f>
        <v/>
      </c>
      <c r="D112" s="64">
        <f>IFERROR(Data!G112/Data!H112,0)</f>
        <v/>
      </c>
      <c r="E112" s="64">
        <f>IFERROR(Data!L112/Data!K112,0)</f>
        <v/>
      </c>
      <c r="F112" s="65">
        <f>Data!F112-Data!E112</f>
        <v/>
      </c>
      <c r="G112" s="21">
        <f>IFERROR(Data!G112/Data!F112,0)</f>
        <v/>
      </c>
      <c r="H112" s="22">
        <f>IF(ABS(G112-Data!I112)&lt;Summary!$B$4,"OK","CHECK")</f>
        <v/>
      </c>
      <c r="I112" s="1" t="n"/>
      <c r="J112" s="1" t="n"/>
    </row>
    <row r="113">
      <c r="A113" s="17">
        <f>Data!A113</f>
        <v/>
      </c>
      <c r="B113" s="63">
        <f>Data!B113</f>
        <v/>
      </c>
      <c r="C113" s="17">
        <f>Data!D113</f>
        <v/>
      </c>
      <c r="D113" s="64">
        <f>IFERROR(Data!G113/Data!H113,0)</f>
        <v/>
      </c>
      <c r="E113" s="64">
        <f>IFERROR(Data!L113/Data!K113,0)</f>
        <v/>
      </c>
      <c r="F113" s="65">
        <f>Data!F113-Data!E113</f>
        <v/>
      </c>
      <c r="G113" s="21">
        <f>IFERROR(Data!G113/Data!F113,0)</f>
        <v/>
      </c>
      <c r="H113" s="22">
        <f>IF(ABS(G113-Data!I113)&lt;Summary!$B$4,"OK","CHECK")</f>
        <v/>
      </c>
      <c r="I113" s="1" t="n"/>
      <c r="J113" s="1" t="n"/>
    </row>
    <row r="114">
      <c r="A114" s="17">
        <f>Data!A114</f>
        <v/>
      </c>
      <c r="B114" s="63">
        <f>Data!B114</f>
        <v/>
      </c>
      <c r="C114" s="17">
        <f>Data!D114</f>
        <v/>
      </c>
      <c r="D114" s="64">
        <f>IFERROR(Data!G114/Data!H114,0)</f>
        <v/>
      </c>
      <c r="E114" s="64">
        <f>IFERROR(Data!L114/Data!K114,0)</f>
        <v/>
      </c>
      <c r="F114" s="65">
        <f>Data!F114-Data!E114</f>
        <v/>
      </c>
      <c r="G114" s="21">
        <f>IFERROR(Data!G114/Data!F114,0)</f>
        <v/>
      </c>
      <c r="H114" s="22">
        <f>IF(ABS(G114-Data!I114)&lt;Summary!$B$4,"OK","CHECK")</f>
        <v/>
      </c>
      <c r="I114" s="1" t="n"/>
      <c r="J114" s="1" t="n"/>
    </row>
    <row r="115">
      <c r="A115" s="17">
        <f>Data!A115</f>
        <v/>
      </c>
      <c r="B115" s="63">
        <f>Data!B115</f>
        <v/>
      </c>
      <c r="C115" s="17">
        <f>Data!D115</f>
        <v/>
      </c>
      <c r="D115" s="64">
        <f>IFERROR(Data!G115/Data!H115,0)</f>
        <v/>
      </c>
      <c r="E115" s="64">
        <f>IFERROR(Data!L115/Data!K115,0)</f>
        <v/>
      </c>
      <c r="F115" s="65">
        <f>Data!F115-Data!E115</f>
        <v/>
      </c>
      <c r="G115" s="21">
        <f>IFERROR(Data!G115/Data!F115,0)</f>
        <v/>
      </c>
      <c r="H115" s="22">
        <f>IF(ABS(G115-Data!I115)&lt;Summary!$B$4,"OK","CHECK")</f>
        <v/>
      </c>
      <c r="I115" s="1" t="n"/>
      <c r="J115" s="1" t="n"/>
    </row>
    <row r="116">
      <c r="A116" s="17">
        <f>Data!A116</f>
        <v/>
      </c>
      <c r="B116" s="63">
        <f>Data!B116</f>
        <v/>
      </c>
      <c r="C116" s="17">
        <f>Data!D116</f>
        <v/>
      </c>
      <c r="D116" s="64">
        <f>IFERROR(Data!G116/Data!H116,0)</f>
        <v/>
      </c>
      <c r="E116" s="64">
        <f>IFERROR(Data!L116/Data!K116,0)</f>
        <v/>
      </c>
      <c r="F116" s="65">
        <f>Data!F116-Data!E116</f>
        <v/>
      </c>
      <c r="G116" s="21">
        <f>IFERROR(Data!G116/Data!F116,0)</f>
        <v/>
      </c>
      <c r="H116" s="22">
        <f>IF(ABS(G116-Data!I116)&lt;Summary!$B$4,"OK","CHECK")</f>
        <v/>
      </c>
      <c r="I116" s="1" t="n"/>
      <c r="J116" s="1" t="n"/>
    </row>
    <row r="117">
      <c r="A117" s="17">
        <f>Data!A117</f>
        <v/>
      </c>
      <c r="B117" s="63">
        <f>Data!B117</f>
        <v/>
      </c>
      <c r="C117" s="17">
        <f>Data!D117</f>
        <v/>
      </c>
      <c r="D117" s="64">
        <f>IFERROR(Data!G117/Data!H117,0)</f>
        <v/>
      </c>
      <c r="E117" s="64">
        <f>IFERROR(Data!L117/Data!K117,0)</f>
        <v/>
      </c>
      <c r="F117" s="65">
        <f>Data!F117-Data!E117</f>
        <v/>
      </c>
      <c r="G117" s="21">
        <f>IFERROR(Data!G117/Data!F117,0)</f>
        <v/>
      </c>
      <c r="H117" s="22">
        <f>IF(ABS(G117-Data!I117)&lt;Summary!$B$4,"OK","CHECK")</f>
        <v/>
      </c>
      <c r="I117" s="1" t="n"/>
      <c r="J117" s="1" t="n"/>
    </row>
    <row r="118">
      <c r="A118" s="17">
        <f>Data!A118</f>
        <v/>
      </c>
      <c r="B118" s="63">
        <f>Data!B118</f>
        <v/>
      </c>
      <c r="C118" s="17">
        <f>Data!D118</f>
        <v/>
      </c>
      <c r="D118" s="64">
        <f>IFERROR(Data!G118/Data!H118,0)</f>
        <v/>
      </c>
      <c r="E118" s="64">
        <f>IFERROR(Data!L118/Data!K118,0)</f>
        <v/>
      </c>
      <c r="F118" s="65">
        <f>Data!F118-Data!E118</f>
        <v/>
      </c>
      <c r="G118" s="21">
        <f>IFERROR(Data!G118/Data!F118,0)</f>
        <v/>
      </c>
      <c r="H118" s="22">
        <f>IF(ABS(G118-Data!I118)&lt;Summary!$B$4,"OK","CHECK")</f>
        <v/>
      </c>
      <c r="I118" s="1" t="n"/>
      <c r="J118" s="1" t="n"/>
    </row>
    <row r="119">
      <c r="A119" s="17">
        <f>Data!A119</f>
        <v/>
      </c>
      <c r="B119" s="63">
        <f>Data!B119</f>
        <v/>
      </c>
      <c r="C119" s="17">
        <f>Data!D119</f>
        <v/>
      </c>
      <c r="D119" s="64">
        <f>IFERROR(Data!G119/Data!H119,0)</f>
        <v/>
      </c>
      <c r="E119" s="64">
        <f>IFERROR(Data!L119/Data!K119,0)</f>
        <v/>
      </c>
      <c r="F119" s="65">
        <f>Data!F119-Data!E119</f>
        <v/>
      </c>
      <c r="G119" s="21">
        <f>IFERROR(Data!G119/Data!F119,0)</f>
        <v/>
      </c>
      <c r="H119" s="22">
        <f>IF(ABS(G119-Data!I119)&lt;Summary!$B$4,"OK","CHECK")</f>
        <v/>
      </c>
      <c r="I119" s="1" t="n"/>
      <c r="J119" s="1" t="n"/>
    </row>
    <row r="120">
      <c r="A120" s="17">
        <f>Data!A120</f>
        <v/>
      </c>
      <c r="B120" s="63">
        <f>Data!B120</f>
        <v/>
      </c>
      <c r="C120" s="17">
        <f>Data!D120</f>
        <v/>
      </c>
      <c r="D120" s="64">
        <f>IFERROR(Data!G120/Data!H120,0)</f>
        <v/>
      </c>
      <c r="E120" s="64">
        <f>IFERROR(Data!L120/Data!K120,0)</f>
        <v/>
      </c>
      <c r="F120" s="65">
        <f>Data!F120-Data!E120</f>
        <v/>
      </c>
      <c r="G120" s="21">
        <f>IFERROR(Data!G120/Data!F120,0)</f>
        <v/>
      </c>
      <c r="H120" s="22">
        <f>IF(ABS(G120-Data!I120)&lt;Summary!$B$4,"OK","CHECK")</f>
        <v/>
      </c>
      <c r="I120" s="1" t="n"/>
      <c r="J120" s="1" t="n"/>
    </row>
    <row r="121">
      <c r="A121" s="17">
        <f>Data!A121</f>
        <v/>
      </c>
      <c r="B121" s="63">
        <f>Data!B121</f>
        <v/>
      </c>
      <c r="C121" s="17">
        <f>Data!D121</f>
        <v/>
      </c>
      <c r="D121" s="64">
        <f>IFERROR(Data!G121/Data!H121,0)</f>
        <v/>
      </c>
      <c r="E121" s="64">
        <f>IFERROR(Data!L121/Data!K121,0)</f>
        <v/>
      </c>
      <c r="F121" s="65">
        <f>Data!F121-Data!E121</f>
        <v/>
      </c>
      <c r="G121" s="21">
        <f>IFERROR(Data!G121/Data!F121,0)</f>
        <v/>
      </c>
      <c r="H121" s="22">
        <f>IF(ABS(G121-Data!I121)&lt;Summary!$B$4,"OK","CHECK")</f>
        <v/>
      </c>
      <c r="I121" s="1" t="n"/>
      <c r="J121" s="1" t="n"/>
    </row>
    <row r="122">
      <c r="A122" s="17">
        <f>Data!A122</f>
        <v/>
      </c>
      <c r="B122" s="63">
        <f>Data!B122</f>
        <v/>
      </c>
      <c r="C122" s="17">
        <f>Data!D122</f>
        <v/>
      </c>
      <c r="D122" s="64">
        <f>IFERROR(Data!G122/Data!H122,0)</f>
        <v/>
      </c>
      <c r="E122" s="64">
        <f>IFERROR(Data!L122/Data!K122,0)</f>
        <v/>
      </c>
      <c r="F122" s="65">
        <f>Data!F122-Data!E122</f>
        <v/>
      </c>
      <c r="G122" s="21">
        <f>IFERROR(Data!G122/Data!F122,0)</f>
        <v/>
      </c>
      <c r="H122" s="22">
        <f>IF(ABS(G122-Data!I122)&lt;Summary!$B$4,"OK","CHECK")</f>
        <v/>
      </c>
      <c r="I122" s="1" t="n"/>
      <c r="J122" s="1" t="n"/>
    </row>
    <row r="123">
      <c r="A123" s="17">
        <f>Data!A123</f>
        <v/>
      </c>
      <c r="B123" s="63">
        <f>Data!B123</f>
        <v/>
      </c>
      <c r="C123" s="17">
        <f>Data!D123</f>
        <v/>
      </c>
      <c r="D123" s="64">
        <f>IFERROR(Data!G123/Data!H123,0)</f>
        <v/>
      </c>
      <c r="E123" s="64">
        <f>IFERROR(Data!L123/Data!K123,0)</f>
        <v/>
      </c>
      <c r="F123" s="65">
        <f>Data!F123-Data!E123</f>
        <v/>
      </c>
      <c r="G123" s="21">
        <f>IFERROR(Data!G123/Data!F123,0)</f>
        <v/>
      </c>
      <c r="H123" s="22">
        <f>IF(ABS(G123-Data!I123)&lt;Summary!$B$4,"OK","CHECK")</f>
        <v/>
      </c>
      <c r="I123" s="1" t="n"/>
      <c r="J123" s="1" t="n"/>
    </row>
    <row r="124">
      <c r="A124" s="17">
        <f>Data!A124</f>
        <v/>
      </c>
      <c r="B124" s="63">
        <f>Data!B124</f>
        <v/>
      </c>
      <c r="C124" s="17">
        <f>Data!D124</f>
        <v/>
      </c>
      <c r="D124" s="64">
        <f>IFERROR(Data!G124/Data!H124,0)</f>
        <v/>
      </c>
      <c r="E124" s="64">
        <f>IFERROR(Data!L124/Data!K124,0)</f>
        <v/>
      </c>
      <c r="F124" s="65">
        <f>Data!F124-Data!E124</f>
        <v/>
      </c>
      <c r="G124" s="21">
        <f>IFERROR(Data!G124/Data!F124,0)</f>
        <v/>
      </c>
      <c r="H124" s="22">
        <f>IF(ABS(G124-Data!I124)&lt;Summary!$B$4,"OK","CHECK")</f>
        <v/>
      </c>
      <c r="I124" s="1" t="n"/>
      <c r="J124" s="1" t="n"/>
    </row>
    <row r="125">
      <c r="A125" s="17">
        <f>Data!A125</f>
        <v/>
      </c>
      <c r="B125" s="63">
        <f>Data!B125</f>
        <v/>
      </c>
      <c r="C125" s="17">
        <f>Data!D125</f>
        <v/>
      </c>
      <c r="D125" s="64">
        <f>IFERROR(Data!G125/Data!H125,0)</f>
        <v/>
      </c>
      <c r="E125" s="64">
        <f>IFERROR(Data!L125/Data!K125,0)</f>
        <v/>
      </c>
      <c r="F125" s="65">
        <f>Data!F125-Data!E125</f>
        <v/>
      </c>
      <c r="G125" s="21">
        <f>IFERROR(Data!G125/Data!F125,0)</f>
        <v/>
      </c>
      <c r="H125" s="22">
        <f>IF(ABS(G125-Data!I125)&lt;Summary!$B$4,"OK","CHECK")</f>
        <v/>
      </c>
      <c r="I125" s="1" t="n"/>
      <c r="J125" s="1" t="n"/>
    </row>
    <row r="126">
      <c r="A126" s="17">
        <f>Data!A126</f>
        <v/>
      </c>
      <c r="B126" s="63">
        <f>Data!B126</f>
        <v/>
      </c>
      <c r="C126" s="17">
        <f>Data!D126</f>
        <v/>
      </c>
      <c r="D126" s="64">
        <f>IFERROR(Data!G126/Data!H126,0)</f>
        <v/>
      </c>
      <c r="E126" s="64">
        <f>IFERROR(Data!L126/Data!K126,0)</f>
        <v/>
      </c>
      <c r="F126" s="65">
        <f>Data!F126-Data!E126</f>
        <v/>
      </c>
      <c r="G126" s="21">
        <f>IFERROR(Data!G126/Data!F126,0)</f>
        <v/>
      </c>
      <c r="H126" s="22">
        <f>IF(ABS(G126-Data!I126)&lt;Summary!$B$4,"OK","CHECK")</f>
        <v/>
      </c>
      <c r="I126" s="1" t="n"/>
      <c r="J126" s="1" t="n"/>
    </row>
    <row r="127">
      <c r="A127" s="17">
        <f>Data!A127</f>
        <v/>
      </c>
      <c r="B127" s="63">
        <f>Data!B127</f>
        <v/>
      </c>
      <c r="C127" s="17">
        <f>Data!D127</f>
        <v/>
      </c>
      <c r="D127" s="64">
        <f>IFERROR(Data!G127/Data!H127,0)</f>
        <v/>
      </c>
      <c r="E127" s="64">
        <f>IFERROR(Data!L127/Data!K127,0)</f>
        <v/>
      </c>
      <c r="F127" s="65">
        <f>Data!F127-Data!E127</f>
        <v/>
      </c>
      <c r="G127" s="21">
        <f>IFERROR(Data!G127/Data!F127,0)</f>
        <v/>
      </c>
      <c r="H127" s="22">
        <f>IF(ABS(G127-Data!I127)&lt;Summary!$B$4,"OK","CHECK")</f>
        <v/>
      </c>
      <c r="I127" s="1" t="n"/>
      <c r="J127" s="1" t="n"/>
    </row>
    <row r="128">
      <c r="A128" s="17">
        <f>Data!A128</f>
        <v/>
      </c>
      <c r="B128" s="63">
        <f>Data!B128</f>
        <v/>
      </c>
      <c r="C128" s="17">
        <f>Data!D128</f>
        <v/>
      </c>
      <c r="D128" s="64">
        <f>IFERROR(Data!G128/Data!H128,0)</f>
        <v/>
      </c>
      <c r="E128" s="64">
        <f>IFERROR(Data!L128/Data!K128,0)</f>
        <v/>
      </c>
      <c r="F128" s="65">
        <f>Data!F128-Data!E128</f>
        <v/>
      </c>
      <c r="G128" s="21">
        <f>IFERROR(Data!G128/Data!F128,0)</f>
        <v/>
      </c>
      <c r="H128" s="22">
        <f>IF(ABS(G128-Data!I128)&lt;Summary!$B$4,"OK","CHECK")</f>
        <v/>
      </c>
      <c r="I128" s="1" t="n"/>
      <c r="J128" s="1" t="n"/>
    </row>
    <row r="129">
      <c r="A129" s="17">
        <f>Data!A129</f>
        <v/>
      </c>
      <c r="B129" s="63">
        <f>Data!B129</f>
        <v/>
      </c>
      <c r="C129" s="17">
        <f>Data!D129</f>
        <v/>
      </c>
      <c r="D129" s="64">
        <f>IFERROR(Data!G129/Data!H129,0)</f>
        <v/>
      </c>
      <c r="E129" s="64">
        <f>IFERROR(Data!L129/Data!K129,0)</f>
        <v/>
      </c>
      <c r="F129" s="65">
        <f>Data!F129-Data!E129</f>
        <v/>
      </c>
      <c r="G129" s="21">
        <f>IFERROR(Data!G129/Data!F129,0)</f>
        <v/>
      </c>
      <c r="H129" s="22">
        <f>IF(ABS(G129-Data!I129)&lt;Summary!$B$4,"OK","CHECK")</f>
        <v/>
      </c>
      <c r="I129" s="1" t="n"/>
      <c r="J129" s="1" t="n"/>
    </row>
    <row r="130">
      <c r="A130" s="17">
        <f>Data!A130</f>
        <v/>
      </c>
      <c r="B130" s="63">
        <f>Data!B130</f>
        <v/>
      </c>
      <c r="C130" s="17">
        <f>Data!D130</f>
        <v/>
      </c>
      <c r="D130" s="64">
        <f>IFERROR(Data!G130/Data!H130,0)</f>
        <v/>
      </c>
      <c r="E130" s="64">
        <f>IFERROR(Data!L130/Data!K130,0)</f>
        <v/>
      </c>
      <c r="F130" s="65">
        <f>Data!F130-Data!E130</f>
        <v/>
      </c>
      <c r="G130" s="21">
        <f>IFERROR(Data!G130/Data!F130,0)</f>
        <v/>
      </c>
      <c r="H130" s="22">
        <f>IF(ABS(G130-Data!I130)&lt;Summary!$B$4,"OK","CHECK")</f>
        <v/>
      </c>
      <c r="I130" s="1" t="n"/>
      <c r="J130" s="1" t="n"/>
    </row>
    <row r="131">
      <c r="A131" s="17">
        <f>Data!A131</f>
        <v/>
      </c>
      <c r="B131" s="63">
        <f>Data!B131</f>
        <v/>
      </c>
      <c r="C131" s="17">
        <f>Data!D131</f>
        <v/>
      </c>
      <c r="D131" s="64">
        <f>IFERROR(Data!G131/Data!H131,0)</f>
        <v/>
      </c>
      <c r="E131" s="64">
        <f>IFERROR(Data!L131/Data!K131,0)</f>
        <v/>
      </c>
      <c r="F131" s="65">
        <f>Data!F131-Data!E131</f>
        <v/>
      </c>
      <c r="G131" s="21">
        <f>IFERROR(Data!G131/Data!F131,0)</f>
        <v/>
      </c>
      <c r="H131" s="22">
        <f>IF(ABS(G131-Data!I131)&lt;Summary!$B$4,"OK","CHECK")</f>
        <v/>
      </c>
      <c r="I131" s="1" t="n"/>
      <c r="J131" s="1" t="n"/>
    </row>
    <row r="132">
      <c r="A132" s="17">
        <f>Data!A132</f>
        <v/>
      </c>
      <c r="B132" s="63">
        <f>Data!B132</f>
        <v/>
      </c>
      <c r="C132" s="17">
        <f>Data!D132</f>
        <v/>
      </c>
      <c r="D132" s="64">
        <f>IFERROR(Data!G132/Data!H132,0)</f>
        <v/>
      </c>
      <c r="E132" s="64">
        <f>IFERROR(Data!L132/Data!K132,0)</f>
        <v/>
      </c>
      <c r="F132" s="65">
        <f>Data!F132-Data!E132</f>
        <v/>
      </c>
      <c r="G132" s="21">
        <f>IFERROR(Data!G132/Data!F132,0)</f>
        <v/>
      </c>
      <c r="H132" s="22">
        <f>IF(ABS(G132-Data!I132)&lt;Summary!$B$4,"OK","CHECK")</f>
        <v/>
      </c>
      <c r="I132" s="1" t="n"/>
      <c r="J132" s="1" t="n"/>
    </row>
    <row r="133">
      <c r="A133" s="17">
        <f>Data!A133</f>
        <v/>
      </c>
      <c r="B133" s="63">
        <f>Data!B133</f>
        <v/>
      </c>
      <c r="C133" s="17">
        <f>Data!D133</f>
        <v/>
      </c>
      <c r="D133" s="64">
        <f>IFERROR(Data!G133/Data!H133,0)</f>
        <v/>
      </c>
      <c r="E133" s="64">
        <f>IFERROR(Data!L133/Data!K133,0)</f>
        <v/>
      </c>
      <c r="F133" s="65">
        <f>Data!F133-Data!E133</f>
        <v/>
      </c>
      <c r="G133" s="21">
        <f>IFERROR(Data!G133/Data!F133,0)</f>
        <v/>
      </c>
      <c r="H133" s="22">
        <f>IF(ABS(G133-Data!I133)&lt;Summary!$B$4,"OK","CHECK")</f>
        <v/>
      </c>
      <c r="I133" s="1" t="n"/>
      <c r="J133" s="1" t="n"/>
    </row>
    <row r="134">
      <c r="A134" s="17">
        <f>Data!A134</f>
        <v/>
      </c>
      <c r="B134" s="63">
        <f>Data!B134</f>
        <v/>
      </c>
      <c r="C134" s="17">
        <f>Data!D134</f>
        <v/>
      </c>
      <c r="D134" s="64">
        <f>IFERROR(Data!G134/Data!H134,0)</f>
        <v/>
      </c>
      <c r="E134" s="64">
        <f>IFERROR(Data!L134/Data!K134,0)</f>
        <v/>
      </c>
      <c r="F134" s="65">
        <f>Data!F134-Data!E134</f>
        <v/>
      </c>
      <c r="G134" s="21">
        <f>IFERROR(Data!G134/Data!F134,0)</f>
        <v/>
      </c>
      <c r="H134" s="22">
        <f>IF(ABS(G134-Data!I134)&lt;Summary!$B$4,"OK","CHECK")</f>
        <v/>
      </c>
      <c r="I134" s="1" t="n"/>
      <c r="J134" s="1" t="n"/>
    </row>
    <row r="135">
      <c r="A135" s="17">
        <f>Data!A135</f>
        <v/>
      </c>
      <c r="B135" s="63">
        <f>Data!B135</f>
        <v/>
      </c>
      <c r="C135" s="17">
        <f>Data!D135</f>
        <v/>
      </c>
      <c r="D135" s="64">
        <f>IFERROR(Data!G135/Data!H135,0)</f>
        <v/>
      </c>
      <c r="E135" s="64">
        <f>IFERROR(Data!L135/Data!K135,0)</f>
        <v/>
      </c>
      <c r="F135" s="65">
        <f>Data!F135-Data!E135</f>
        <v/>
      </c>
      <c r="G135" s="21">
        <f>IFERROR(Data!G135/Data!F135,0)</f>
        <v/>
      </c>
      <c r="H135" s="22">
        <f>IF(ABS(G135-Data!I135)&lt;Summary!$B$4,"OK","CHECK")</f>
        <v/>
      </c>
      <c r="I135" s="1" t="n"/>
      <c r="J135" s="1" t="n"/>
    </row>
    <row r="136">
      <c r="A136" s="17">
        <f>Data!A136</f>
        <v/>
      </c>
      <c r="B136" s="63">
        <f>Data!B136</f>
        <v/>
      </c>
      <c r="C136" s="17">
        <f>Data!D136</f>
        <v/>
      </c>
      <c r="D136" s="64">
        <f>IFERROR(Data!G136/Data!H136,0)</f>
        <v/>
      </c>
      <c r="E136" s="64">
        <f>IFERROR(Data!L136/Data!K136,0)</f>
        <v/>
      </c>
      <c r="F136" s="65">
        <f>Data!F136-Data!E136</f>
        <v/>
      </c>
      <c r="G136" s="21">
        <f>IFERROR(Data!G136/Data!F136,0)</f>
        <v/>
      </c>
      <c r="H136" s="22">
        <f>IF(ABS(G136-Data!I136)&lt;Summary!$B$4,"OK","CHECK")</f>
        <v/>
      </c>
      <c r="I136" s="1" t="n"/>
      <c r="J136" s="1" t="n"/>
    </row>
    <row r="137">
      <c r="A137" s="17">
        <f>Data!A137</f>
        <v/>
      </c>
      <c r="B137" s="63">
        <f>Data!B137</f>
        <v/>
      </c>
      <c r="C137" s="17">
        <f>Data!D137</f>
        <v/>
      </c>
      <c r="D137" s="64">
        <f>IFERROR(Data!G137/Data!H137,0)</f>
        <v/>
      </c>
      <c r="E137" s="64">
        <f>IFERROR(Data!L137/Data!K137,0)</f>
        <v/>
      </c>
      <c r="F137" s="65">
        <f>Data!F137-Data!E137</f>
        <v/>
      </c>
      <c r="G137" s="21">
        <f>IFERROR(Data!G137/Data!F137,0)</f>
        <v/>
      </c>
      <c r="H137" s="22">
        <f>IF(ABS(G137-Data!I137)&lt;Summary!$B$4,"OK","CHECK")</f>
        <v/>
      </c>
      <c r="I137" s="1" t="n"/>
      <c r="J137" s="1" t="n"/>
    </row>
    <row r="138">
      <c r="A138" s="17">
        <f>Data!A138</f>
        <v/>
      </c>
      <c r="B138" s="63">
        <f>Data!B138</f>
        <v/>
      </c>
      <c r="C138" s="17">
        <f>Data!D138</f>
        <v/>
      </c>
      <c r="D138" s="64">
        <f>IFERROR(Data!G138/Data!H138,0)</f>
        <v/>
      </c>
      <c r="E138" s="64">
        <f>IFERROR(Data!L138/Data!K138,0)</f>
        <v/>
      </c>
      <c r="F138" s="65">
        <f>Data!F138-Data!E138</f>
        <v/>
      </c>
      <c r="G138" s="21">
        <f>IFERROR(Data!G138/Data!F138,0)</f>
        <v/>
      </c>
      <c r="H138" s="22">
        <f>IF(ABS(G138-Data!I138)&lt;Summary!$B$4,"OK","CHECK")</f>
        <v/>
      </c>
      <c r="I138" s="1" t="n"/>
      <c r="J138" s="1" t="n"/>
    </row>
    <row r="139">
      <c r="A139" s="17">
        <f>Data!A139</f>
        <v/>
      </c>
      <c r="B139" s="63">
        <f>Data!B139</f>
        <v/>
      </c>
      <c r="C139" s="17">
        <f>Data!D139</f>
        <v/>
      </c>
      <c r="D139" s="64">
        <f>IFERROR(Data!G139/Data!H139,0)</f>
        <v/>
      </c>
      <c r="E139" s="64">
        <f>IFERROR(Data!L139/Data!K139,0)</f>
        <v/>
      </c>
      <c r="F139" s="65">
        <f>Data!F139-Data!E139</f>
        <v/>
      </c>
      <c r="G139" s="21">
        <f>IFERROR(Data!G139/Data!F139,0)</f>
        <v/>
      </c>
      <c r="H139" s="22">
        <f>IF(ABS(G139-Data!I139)&lt;Summary!$B$4,"OK","CHECK")</f>
        <v/>
      </c>
      <c r="I139" s="1" t="n"/>
      <c r="J139" s="1" t="n"/>
    </row>
    <row r="140">
      <c r="A140" s="17">
        <f>Data!A140</f>
        <v/>
      </c>
      <c r="B140" s="63">
        <f>Data!B140</f>
        <v/>
      </c>
      <c r="C140" s="17">
        <f>Data!D140</f>
        <v/>
      </c>
      <c r="D140" s="64">
        <f>IFERROR(Data!G140/Data!H140,0)</f>
        <v/>
      </c>
      <c r="E140" s="64">
        <f>IFERROR(Data!L140/Data!K140,0)</f>
        <v/>
      </c>
      <c r="F140" s="65">
        <f>Data!F140-Data!E140</f>
        <v/>
      </c>
      <c r="G140" s="21">
        <f>IFERROR(Data!G140/Data!F140,0)</f>
        <v/>
      </c>
      <c r="H140" s="22">
        <f>IF(ABS(G140-Data!I140)&lt;Summary!$B$4,"OK","CHECK")</f>
        <v/>
      </c>
      <c r="I140" s="1" t="n"/>
      <c r="J140" s="1" t="n"/>
    </row>
    <row r="141">
      <c r="A141" s="17">
        <f>Data!A141</f>
        <v/>
      </c>
      <c r="B141" s="63">
        <f>Data!B141</f>
        <v/>
      </c>
      <c r="C141" s="17">
        <f>Data!D141</f>
        <v/>
      </c>
      <c r="D141" s="64">
        <f>IFERROR(Data!G141/Data!H141,0)</f>
        <v/>
      </c>
      <c r="E141" s="64">
        <f>IFERROR(Data!L141/Data!K141,0)</f>
        <v/>
      </c>
      <c r="F141" s="65">
        <f>Data!F141-Data!E141</f>
        <v/>
      </c>
      <c r="G141" s="21">
        <f>IFERROR(Data!G141/Data!F141,0)</f>
        <v/>
      </c>
      <c r="H141" s="22">
        <f>IF(ABS(G141-Data!I141)&lt;Summary!$B$4,"OK","CHECK")</f>
        <v/>
      </c>
      <c r="I141" s="1" t="n"/>
      <c r="J141" s="1" t="n"/>
    </row>
    <row r="142">
      <c r="A142" s="17">
        <f>Data!A142</f>
        <v/>
      </c>
      <c r="B142" s="63">
        <f>Data!B142</f>
        <v/>
      </c>
      <c r="C142" s="17">
        <f>Data!D142</f>
        <v/>
      </c>
      <c r="D142" s="64">
        <f>IFERROR(Data!G142/Data!H142,0)</f>
        <v/>
      </c>
      <c r="E142" s="64">
        <f>IFERROR(Data!L142/Data!K142,0)</f>
        <v/>
      </c>
      <c r="F142" s="65">
        <f>Data!F142-Data!E142</f>
        <v/>
      </c>
      <c r="G142" s="21">
        <f>IFERROR(Data!G142/Data!F142,0)</f>
        <v/>
      </c>
      <c r="H142" s="22">
        <f>IF(ABS(G142-Data!I142)&lt;Summary!$B$4,"OK","CHECK")</f>
        <v/>
      </c>
      <c r="I142" s="1" t="n"/>
      <c r="J142" s="1" t="n"/>
    </row>
    <row r="143">
      <c r="A143" s="17">
        <f>Data!A143</f>
        <v/>
      </c>
      <c r="B143" s="63">
        <f>Data!B143</f>
        <v/>
      </c>
      <c r="C143" s="17">
        <f>Data!D143</f>
        <v/>
      </c>
      <c r="D143" s="64">
        <f>IFERROR(Data!G143/Data!H143,0)</f>
        <v/>
      </c>
      <c r="E143" s="64">
        <f>IFERROR(Data!L143/Data!K143,0)</f>
        <v/>
      </c>
      <c r="F143" s="65">
        <f>Data!F143-Data!E143</f>
        <v/>
      </c>
      <c r="G143" s="21">
        <f>IFERROR(Data!G143/Data!F143,0)</f>
        <v/>
      </c>
      <c r="H143" s="22">
        <f>IF(ABS(G143-Data!I143)&lt;Summary!$B$4,"OK","CHECK")</f>
        <v/>
      </c>
      <c r="I143" s="1" t="n"/>
      <c r="J143" s="1" t="n"/>
    </row>
    <row r="144">
      <c r="A144" s="17">
        <f>Data!A144</f>
        <v/>
      </c>
      <c r="B144" s="63">
        <f>Data!B144</f>
        <v/>
      </c>
      <c r="C144" s="17">
        <f>Data!D144</f>
        <v/>
      </c>
      <c r="D144" s="64">
        <f>IFERROR(Data!G144/Data!H144,0)</f>
        <v/>
      </c>
      <c r="E144" s="64">
        <f>IFERROR(Data!L144/Data!K144,0)</f>
        <v/>
      </c>
      <c r="F144" s="65">
        <f>Data!F144-Data!E144</f>
        <v/>
      </c>
      <c r="G144" s="21">
        <f>IFERROR(Data!G144/Data!F144,0)</f>
        <v/>
      </c>
      <c r="H144" s="22">
        <f>IF(ABS(G144-Data!I144)&lt;Summary!$B$4,"OK","CHECK")</f>
        <v/>
      </c>
      <c r="I144" s="1" t="n"/>
      <c r="J144" s="1" t="n"/>
    </row>
    <row r="145">
      <c r="A145" s="17">
        <f>Data!A145</f>
        <v/>
      </c>
      <c r="B145" s="63">
        <f>Data!B145</f>
        <v/>
      </c>
      <c r="C145" s="17">
        <f>Data!D145</f>
        <v/>
      </c>
      <c r="D145" s="64">
        <f>IFERROR(Data!G145/Data!H145,0)</f>
        <v/>
      </c>
      <c r="E145" s="64">
        <f>IFERROR(Data!L145/Data!K145,0)</f>
        <v/>
      </c>
      <c r="F145" s="65">
        <f>Data!F145-Data!E145</f>
        <v/>
      </c>
      <c r="G145" s="21">
        <f>IFERROR(Data!G145/Data!F145,0)</f>
        <v/>
      </c>
      <c r="H145" s="22">
        <f>IF(ABS(G145-Data!I145)&lt;Summary!$B$4,"OK","CHECK")</f>
        <v/>
      </c>
      <c r="I145" s="1" t="n"/>
      <c r="J145" s="1" t="n"/>
    </row>
    <row r="146">
      <c r="A146" s="17">
        <f>Data!A146</f>
        <v/>
      </c>
      <c r="B146" s="63">
        <f>Data!B146</f>
        <v/>
      </c>
      <c r="C146" s="17">
        <f>Data!D146</f>
        <v/>
      </c>
      <c r="D146" s="64">
        <f>IFERROR(Data!G146/Data!H146,0)</f>
        <v/>
      </c>
      <c r="E146" s="64">
        <f>IFERROR(Data!L146/Data!K146,0)</f>
        <v/>
      </c>
      <c r="F146" s="65">
        <f>Data!F146-Data!E146</f>
        <v/>
      </c>
      <c r="G146" s="21">
        <f>IFERROR(Data!G146/Data!F146,0)</f>
        <v/>
      </c>
      <c r="H146" s="22">
        <f>IF(ABS(G146-Data!I146)&lt;Summary!$B$4,"OK","CHECK")</f>
        <v/>
      </c>
      <c r="I146" s="1" t="n"/>
      <c r="J146" s="1" t="n"/>
    </row>
    <row r="147">
      <c r="A147" s="17">
        <f>Data!A147</f>
        <v/>
      </c>
      <c r="B147" s="63">
        <f>Data!B147</f>
        <v/>
      </c>
      <c r="C147" s="17">
        <f>Data!D147</f>
        <v/>
      </c>
      <c r="D147" s="64">
        <f>IFERROR(Data!G147/Data!H147,0)</f>
        <v/>
      </c>
      <c r="E147" s="64">
        <f>IFERROR(Data!L147/Data!K147,0)</f>
        <v/>
      </c>
      <c r="F147" s="65">
        <f>Data!F147-Data!E147</f>
        <v/>
      </c>
      <c r="G147" s="21">
        <f>IFERROR(Data!G147/Data!F147,0)</f>
        <v/>
      </c>
      <c r="H147" s="22">
        <f>IF(ABS(G147-Data!I147)&lt;Summary!$B$4,"OK","CHECK")</f>
        <v/>
      </c>
      <c r="I147" s="1" t="n"/>
      <c r="J147" s="1" t="n"/>
    </row>
    <row r="148">
      <c r="A148" s="17">
        <f>Data!A148</f>
        <v/>
      </c>
      <c r="B148" s="63">
        <f>Data!B148</f>
        <v/>
      </c>
      <c r="C148" s="17">
        <f>Data!D148</f>
        <v/>
      </c>
      <c r="D148" s="64">
        <f>IFERROR(Data!G148/Data!H148,0)</f>
        <v/>
      </c>
      <c r="E148" s="64">
        <f>IFERROR(Data!L148/Data!K148,0)</f>
        <v/>
      </c>
      <c r="F148" s="65">
        <f>Data!F148-Data!E148</f>
        <v/>
      </c>
      <c r="G148" s="21">
        <f>IFERROR(Data!G148/Data!F148,0)</f>
        <v/>
      </c>
      <c r="H148" s="22">
        <f>IF(ABS(G148-Data!I148)&lt;Summary!$B$4,"OK","CHECK")</f>
        <v/>
      </c>
      <c r="I148" s="1" t="n"/>
      <c r="J148" s="1" t="n"/>
    </row>
    <row r="149">
      <c r="A149" s="17">
        <f>Data!A149</f>
        <v/>
      </c>
      <c r="B149" s="63">
        <f>Data!B149</f>
        <v/>
      </c>
      <c r="C149" s="17">
        <f>Data!D149</f>
        <v/>
      </c>
      <c r="D149" s="64">
        <f>IFERROR(Data!G149/Data!H149,0)</f>
        <v/>
      </c>
      <c r="E149" s="64">
        <f>IFERROR(Data!L149/Data!K149,0)</f>
        <v/>
      </c>
      <c r="F149" s="65">
        <f>Data!F149-Data!E149</f>
        <v/>
      </c>
      <c r="G149" s="21">
        <f>IFERROR(Data!G149/Data!F149,0)</f>
        <v/>
      </c>
      <c r="H149" s="22">
        <f>IF(ABS(G149-Data!I149)&lt;Summary!$B$4,"OK","CHECK")</f>
        <v/>
      </c>
      <c r="I149" s="1" t="n"/>
      <c r="J149" s="1" t="n"/>
    </row>
    <row r="150">
      <c r="A150" s="17">
        <f>Data!A150</f>
        <v/>
      </c>
      <c r="B150" s="63">
        <f>Data!B150</f>
        <v/>
      </c>
      <c r="C150" s="17">
        <f>Data!D150</f>
        <v/>
      </c>
      <c r="D150" s="64">
        <f>IFERROR(Data!G150/Data!H150,0)</f>
        <v/>
      </c>
      <c r="E150" s="64">
        <f>IFERROR(Data!L150/Data!K150,0)</f>
        <v/>
      </c>
      <c r="F150" s="65">
        <f>Data!F150-Data!E150</f>
        <v/>
      </c>
      <c r="G150" s="21">
        <f>IFERROR(Data!G150/Data!F150,0)</f>
        <v/>
      </c>
      <c r="H150" s="22">
        <f>IF(ABS(G150-Data!I150)&lt;Summary!$B$4,"OK","CHECK")</f>
        <v/>
      </c>
      <c r="I150" s="1" t="n"/>
      <c r="J150" s="1" t="n"/>
    </row>
    <row r="151">
      <c r="A151" s="17">
        <f>Data!A151</f>
        <v/>
      </c>
      <c r="B151" s="63">
        <f>Data!B151</f>
        <v/>
      </c>
      <c r="C151" s="17">
        <f>Data!D151</f>
        <v/>
      </c>
      <c r="D151" s="64">
        <f>IFERROR(Data!G151/Data!H151,0)</f>
        <v/>
      </c>
      <c r="E151" s="64">
        <f>IFERROR(Data!L151/Data!K151,0)</f>
        <v/>
      </c>
      <c r="F151" s="65">
        <f>Data!F151-Data!E151</f>
        <v/>
      </c>
      <c r="G151" s="21">
        <f>IFERROR(Data!G151/Data!F151,0)</f>
        <v/>
      </c>
      <c r="H151" s="22">
        <f>IF(ABS(G151-Data!I151)&lt;Summary!$B$4,"OK","CHECK")</f>
        <v/>
      </c>
      <c r="I151" s="1" t="n"/>
      <c r="J151" s="1" t="n"/>
    </row>
    <row r="152">
      <c r="A152" s="17">
        <f>Data!A152</f>
        <v/>
      </c>
      <c r="B152" s="63">
        <f>Data!B152</f>
        <v/>
      </c>
      <c r="C152" s="17">
        <f>Data!D152</f>
        <v/>
      </c>
      <c r="D152" s="64">
        <f>IFERROR(Data!G152/Data!H152,0)</f>
        <v/>
      </c>
      <c r="E152" s="64">
        <f>IFERROR(Data!L152/Data!K152,0)</f>
        <v/>
      </c>
      <c r="F152" s="65">
        <f>Data!F152-Data!E152</f>
        <v/>
      </c>
      <c r="G152" s="21">
        <f>IFERROR(Data!G152/Data!F152,0)</f>
        <v/>
      </c>
      <c r="H152" s="22">
        <f>IF(ABS(G152-Data!I152)&lt;Summary!$B$4,"OK","CHECK")</f>
        <v/>
      </c>
      <c r="I152" s="1" t="n"/>
      <c r="J152" s="1" t="n"/>
    </row>
    <row r="153">
      <c r="A153" s="17">
        <f>Data!A153</f>
        <v/>
      </c>
      <c r="B153" s="63">
        <f>Data!B153</f>
        <v/>
      </c>
      <c r="C153" s="17">
        <f>Data!D153</f>
        <v/>
      </c>
      <c r="D153" s="64">
        <f>IFERROR(Data!G153/Data!H153,0)</f>
        <v/>
      </c>
      <c r="E153" s="64">
        <f>IFERROR(Data!L153/Data!K153,0)</f>
        <v/>
      </c>
      <c r="F153" s="65">
        <f>Data!F153-Data!E153</f>
        <v/>
      </c>
      <c r="G153" s="21">
        <f>IFERROR(Data!G153/Data!F153,0)</f>
        <v/>
      </c>
      <c r="H153" s="22">
        <f>IF(ABS(G153-Data!I153)&lt;Summary!$B$4,"OK","CHECK")</f>
        <v/>
      </c>
      <c r="I153" s="1" t="n"/>
      <c r="J153" s="1" t="n"/>
    </row>
    <row r="154">
      <c r="A154" s="17">
        <f>Data!A154</f>
        <v/>
      </c>
      <c r="B154" s="63">
        <f>Data!B154</f>
        <v/>
      </c>
      <c r="C154" s="17">
        <f>Data!D154</f>
        <v/>
      </c>
      <c r="D154" s="64">
        <f>IFERROR(Data!G154/Data!H154,0)</f>
        <v/>
      </c>
      <c r="E154" s="64">
        <f>IFERROR(Data!L154/Data!K154,0)</f>
        <v/>
      </c>
      <c r="F154" s="65">
        <f>Data!F154-Data!E154</f>
        <v/>
      </c>
      <c r="G154" s="21">
        <f>IFERROR(Data!G154/Data!F154,0)</f>
        <v/>
      </c>
      <c r="H154" s="22">
        <f>IF(ABS(G154-Data!I154)&lt;Summary!$B$4,"OK","CHECK")</f>
        <v/>
      </c>
      <c r="I154" s="1" t="n"/>
      <c r="J154" s="1" t="n"/>
    </row>
    <row r="155">
      <c r="A155" s="17">
        <f>Data!A155</f>
        <v/>
      </c>
      <c r="B155" s="63">
        <f>Data!B155</f>
        <v/>
      </c>
      <c r="C155" s="17">
        <f>Data!D155</f>
        <v/>
      </c>
      <c r="D155" s="64">
        <f>IFERROR(Data!G155/Data!H155,0)</f>
        <v/>
      </c>
      <c r="E155" s="64">
        <f>IFERROR(Data!L155/Data!K155,0)</f>
        <v/>
      </c>
      <c r="F155" s="65">
        <f>Data!F155-Data!E155</f>
        <v/>
      </c>
      <c r="G155" s="21">
        <f>IFERROR(Data!G155/Data!F155,0)</f>
        <v/>
      </c>
      <c r="H155" s="22">
        <f>IF(ABS(G155-Data!I155)&lt;Summary!$B$4,"OK","CHECK")</f>
        <v/>
      </c>
      <c r="I155" s="1" t="n"/>
      <c r="J155" s="1" t="n"/>
    </row>
    <row r="156">
      <c r="A156" s="17">
        <f>Data!A156</f>
        <v/>
      </c>
      <c r="B156" s="63">
        <f>Data!B156</f>
        <v/>
      </c>
      <c r="C156" s="17">
        <f>Data!D156</f>
        <v/>
      </c>
      <c r="D156" s="64">
        <f>IFERROR(Data!G156/Data!H156,0)</f>
        <v/>
      </c>
      <c r="E156" s="64">
        <f>IFERROR(Data!L156/Data!K156,0)</f>
        <v/>
      </c>
      <c r="F156" s="65">
        <f>Data!F156-Data!E156</f>
        <v/>
      </c>
      <c r="G156" s="21">
        <f>IFERROR(Data!G156/Data!F156,0)</f>
        <v/>
      </c>
      <c r="H156" s="22">
        <f>IF(ABS(G156-Data!I156)&lt;Summary!$B$4,"OK","CHECK")</f>
        <v/>
      </c>
      <c r="I156" s="1" t="n"/>
      <c r="J156" s="1" t="n"/>
    </row>
    <row r="157">
      <c r="A157" s="17">
        <f>Data!A157</f>
        <v/>
      </c>
      <c r="B157" s="63">
        <f>Data!B157</f>
        <v/>
      </c>
      <c r="C157" s="17">
        <f>Data!D157</f>
        <v/>
      </c>
      <c r="D157" s="64">
        <f>IFERROR(Data!G157/Data!H157,0)</f>
        <v/>
      </c>
      <c r="E157" s="64">
        <f>IFERROR(Data!L157/Data!K157,0)</f>
        <v/>
      </c>
      <c r="F157" s="65">
        <f>Data!F157-Data!E157</f>
        <v/>
      </c>
      <c r="G157" s="21">
        <f>IFERROR(Data!G157/Data!F157,0)</f>
        <v/>
      </c>
      <c r="H157" s="22">
        <f>IF(ABS(G157-Data!I157)&lt;Summary!$B$4,"OK","CHECK")</f>
        <v/>
      </c>
      <c r="I157" s="1" t="n"/>
      <c r="J157" s="1" t="n"/>
    </row>
    <row r="158">
      <c r="A158" s="17">
        <f>Data!A158</f>
        <v/>
      </c>
      <c r="B158" s="63">
        <f>Data!B158</f>
        <v/>
      </c>
      <c r="C158" s="17">
        <f>Data!D158</f>
        <v/>
      </c>
      <c r="D158" s="64">
        <f>IFERROR(Data!G158/Data!H158,0)</f>
        <v/>
      </c>
      <c r="E158" s="64">
        <f>IFERROR(Data!L158/Data!K158,0)</f>
        <v/>
      </c>
      <c r="F158" s="65">
        <f>Data!F158-Data!E158</f>
        <v/>
      </c>
      <c r="G158" s="21">
        <f>IFERROR(Data!G158/Data!F158,0)</f>
        <v/>
      </c>
      <c r="H158" s="22">
        <f>IF(ABS(G158-Data!I158)&lt;Summary!$B$4,"OK","CHECK")</f>
        <v/>
      </c>
      <c r="I158" s="1" t="n"/>
      <c r="J158" s="1" t="n"/>
    </row>
    <row r="159">
      <c r="A159" s="17">
        <f>Data!A159</f>
        <v/>
      </c>
      <c r="B159" s="63">
        <f>Data!B159</f>
        <v/>
      </c>
      <c r="C159" s="17">
        <f>Data!D159</f>
        <v/>
      </c>
      <c r="D159" s="64">
        <f>IFERROR(Data!G159/Data!H159,0)</f>
        <v/>
      </c>
      <c r="E159" s="64">
        <f>IFERROR(Data!L159/Data!K159,0)</f>
        <v/>
      </c>
      <c r="F159" s="65">
        <f>Data!F159-Data!E159</f>
        <v/>
      </c>
      <c r="G159" s="21">
        <f>IFERROR(Data!G159/Data!F159,0)</f>
        <v/>
      </c>
      <c r="H159" s="22">
        <f>IF(ABS(G159-Data!I159)&lt;Summary!$B$4,"OK","CHECK")</f>
        <v/>
      </c>
      <c r="I159" s="1" t="n"/>
      <c r="J159" s="1" t="n"/>
    </row>
    <row r="160">
      <c r="A160" s="17">
        <f>Data!A160</f>
        <v/>
      </c>
      <c r="B160" s="63">
        <f>Data!B160</f>
        <v/>
      </c>
      <c r="C160" s="17">
        <f>Data!D160</f>
        <v/>
      </c>
      <c r="D160" s="64">
        <f>IFERROR(Data!G160/Data!H160,0)</f>
        <v/>
      </c>
      <c r="E160" s="64">
        <f>IFERROR(Data!L160/Data!K160,0)</f>
        <v/>
      </c>
      <c r="F160" s="65">
        <f>Data!F160-Data!E160</f>
        <v/>
      </c>
      <c r="G160" s="21">
        <f>IFERROR(Data!G160/Data!F160,0)</f>
        <v/>
      </c>
      <c r="H160" s="22">
        <f>IF(ABS(G160-Data!I160)&lt;Summary!$B$4,"OK","CHECK")</f>
        <v/>
      </c>
      <c r="I160" s="1" t="n"/>
      <c r="J160" s="1" t="n"/>
    </row>
    <row r="161">
      <c r="A161" s="17">
        <f>Data!A161</f>
        <v/>
      </c>
      <c r="B161" s="63">
        <f>Data!B161</f>
        <v/>
      </c>
      <c r="C161" s="17">
        <f>Data!D161</f>
        <v/>
      </c>
      <c r="D161" s="64">
        <f>IFERROR(Data!G161/Data!H161,0)</f>
        <v/>
      </c>
      <c r="E161" s="64">
        <f>IFERROR(Data!L161/Data!K161,0)</f>
        <v/>
      </c>
      <c r="F161" s="65">
        <f>Data!F161-Data!E161</f>
        <v/>
      </c>
      <c r="G161" s="21">
        <f>IFERROR(Data!G161/Data!F161,0)</f>
        <v/>
      </c>
      <c r="H161" s="22">
        <f>IF(ABS(G161-Data!I161)&lt;Summary!$B$4,"OK","CHECK")</f>
        <v/>
      </c>
      <c r="I161" s="1" t="n"/>
      <c r="J161" s="1" t="n"/>
    </row>
    <row r="162">
      <c r="A162" s="17">
        <f>Data!A162</f>
        <v/>
      </c>
      <c r="B162" s="63">
        <f>Data!B162</f>
        <v/>
      </c>
      <c r="C162" s="17">
        <f>Data!D162</f>
        <v/>
      </c>
      <c r="D162" s="64">
        <f>IFERROR(Data!G162/Data!H162,0)</f>
        <v/>
      </c>
      <c r="E162" s="64">
        <f>IFERROR(Data!L162/Data!K162,0)</f>
        <v/>
      </c>
      <c r="F162" s="65">
        <f>Data!F162-Data!E162</f>
        <v/>
      </c>
      <c r="G162" s="21">
        <f>IFERROR(Data!G162/Data!F162,0)</f>
        <v/>
      </c>
      <c r="H162" s="22">
        <f>IF(ABS(G162-Data!I162)&lt;Summary!$B$4,"OK","CHECK")</f>
        <v/>
      </c>
      <c r="I162" s="1" t="n"/>
      <c r="J162" s="1" t="n"/>
    </row>
    <row r="163">
      <c r="A163" s="17">
        <f>Data!A163</f>
        <v/>
      </c>
      <c r="B163" s="63">
        <f>Data!B163</f>
        <v/>
      </c>
      <c r="C163" s="17">
        <f>Data!D163</f>
        <v/>
      </c>
      <c r="D163" s="64">
        <f>IFERROR(Data!G163/Data!H163,0)</f>
        <v/>
      </c>
      <c r="E163" s="64">
        <f>IFERROR(Data!L163/Data!K163,0)</f>
        <v/>
      </c>
      <c r="F163" s="65">
        <f>Data!F163-Data!E163</f>
        <v/>
      </c>
      <c r="G163" s="21">
        <f>IFERROR(Data!G163/Data!F163,0)</f>
        <v/>
      </c>
      <c r="H163" s="22">
        <f>IF(ABS(G163-Data!I163)&lt;Summary!$B$4,"OK","CHECK")</f>
        <v/>
      </c>
      <c r="I163" s="1" t="n"/>
      <c r="J163" s="1" t="n"/>
    </row>
    <row r="164">
      <c r="A164" s="17">
        <f>Data!A164</f>
        <v/>
      </c>
      <c r="B164" s="63">
        <f>Data!B164</f>
        <v/>
      </c>
      <c r="C164" s="17">
        <f>Data!D164</f>
        <v/>
      </c>
      <c r="D164" s="64">
        <f>IFERROR(Data!G164/Data!H164,0)</f>
        <v/>
      </c>
      <c r="E164" s="64">
        <f>IFERROR(Data!L164/Data!K164,0)</f>
        <v/>
      </c>
      <c r="F164" s="65">
        <f>Data!F164-Data!E164</f>
        <v/>
      </c>
      <c r="G164" s="21">
        <f>IFERROR(Data!G164/Data!F164,0)</f>
        <v/>
      </c>
      <c r="H164" s="22">
        <f>IF(ABS(G164-Data!I164)&lt;Summary!$B$4,"OK","CHECK")</f>
        <v/>
      </c>
      <c r="I164" s="1" t="n"/>
      <c r="J164" s="1" t="n"/>
    </row>
    <row r="165">
      <c r="A165" s="17">
        <f>Data!A165</f>
        <v/>
      </c>
      <c r="B165" s="63">
        <f>Data!B165</f>
        <v/>
      </c>
      <c r="C165" s="17">
        <f>Data!D165</f>
        <v/>
      </c>
      <c r="D165" s="64">
        <f>IFERROR(Data!G165/Data!H165,0)</f>
        <v/>
      </c>
      <c r="E165" s="64">
        <f>IFERROR(Data!L165/Data!K165,0)</f>
        <v/>
      </c>
      <c r="F165" s="65">
        <f>Data!F165-Data!E165</f>
        <v/>
      </c>
      <c r="G165" s="21">
        <f>IFERROR(Data!G165/Data!F165,0)</f>
        <v/>
      </c>
      <c r="H165" s="22">
        <f>IF(ABS(G165-Data!I165)&lt;Summary!$B$4,"OK","CHECK")</f>
        <v/>
      </c>
      <c r="I165" s="1" t="n"/>
      <c r="J165" s="1" t="n"/>
    </row>
    <row r="166">
      <c r="A166" s="17">
        <f>Data!A166</f>
        <v/>
      </c>
      <c r="B166" s="63">
        <f>Data!B166</f>
        <v/>
      </c>
      <c r="C166" s="17">
        <f>Data!D166</f>
        <v/>
      </c>
      <c r="D166" s="64">
        <f>IFERROR(Data!G166/Data!H166,0)</f>
        <v/>
      </c>
      <c r="E166" s="64">
        <f>IFERROR(Data!L166/Data!K166,0)</f>
        <v/>
      </c>
      <c r="F166" s="65">
        <f>Data!F166-Data!E166</f>
        <v/>
      </c>
      <c r="G166" s="21">
        <f>IFERROR(Data!G166/Data!F166,0)</f>
        <v/>
      </c>
      <c r="H166" s="22">
        <f>IF(ABS(G166-Data!I166)&lt;Summary!$B$4,"OK","CHECK")</f>
        <v/>
      </c>
      <c r="I166" s="1" t="n"/>
      <c r="J166" s="1" t="n"/>
    </row>
    <row r="167">
      <c r="A167" s="17">
        <f>Data!A167</f>
        <v/>
      </c>
      <c r="B167" s="63">
        <f>Data!B167</f>
        <v/>
      </c>
      <c r="C167" s="17">
        <f>Data!D167</f>
        <v/>
      </c>
      <c r="D167" s="64">
        <f>IFERROR(Data!G167/Data!H167,0)</f>
        <v/>
      </c>
      <c r="E167" s="64">
        <f>IFERROR(Data!L167/Data!K167,0)</f>
        <v/>
      </c>
      <c r="F167" s="65">
        <f>Data!F167-Data!E167</f>
        <v/>
      </c>
      <c r="G167" s="21">
        <f>IFERROR(Data!G167/Data!F167,0)</f>
        <v/>
      </c>
      <c r="H167" s="22">
        <f>IF(ABS(G167-Data!I167)&lt;Summary!$B$4,"OK","CHECK")</f>
        <v/>
      </c>
      <c r="I167" s="1" t="n"/>
      <c r="J167" s="1" t="n"/>
    </row>
    <row r="168">
      <c r="A168" s="17">
        <f>Data!A168</f>
        <v/>
      </c>
      <c r="B168" s="63">
        <f>Data!B168</f>
        <v/>
      </c>
      <c r="C168" s="17">
        <f>Data!D168</f>
        <v/>
      </c>
      <c r="D168" s="64">
        <f>IFERROR(Data!G168/Data!H168,0)</f>
        <v/>
      </c>
      <c r="E168" s="64">
        <f>IFERROR(Data!L168/Data!K168,0)</f>
        <v/>
      </c>
      <c r="F168" s="65">
        <f>Data!F168-Data!E168</f>
        <v/>
      </c>
      <c r="G168" s="21">
        <f>IFERROR(Data!G168/Data!F168,0)</f>
        <v/>
      </c>
      <c r="H168" s="22">
        <f>IF(ABS(G168-Data!I168)&lt;Summary!$B$4,"OK","CHECK")</f>
        <v/>
      </c>
      <c r="I168" s="1" t="n"/>
      <c r="J168" s="1" t="n"/>
    </row>
    <row r="169">
      <c r="A169" s="17">
        <f>Data!A169</f>
        <v/>
      </c>
      <c r="B169" s="63">
        <f>Data!B169</f>
        <v/>
      </c>
      <c r="C169" s="17">
        <f>Data!D169</f>
        <v/>
      </c>
      <c r="D169" s="64">
        <f>IFERROR(Data!G169/Data!H169,0)</f>
        <v/>
      </c>
      <c r="E169" s="64">
        <f>IFERROR(Data!L169/Data!K169,0)</f>
        <v/>
      </c>
      <c r="F169" s="65">
        <f>Data!F169-Data!E169</f>
        <v/>
      </c>
      <c r="G169" s="21">
        <f>IFERROR(Data!G169/Data!F169,0)</f>
        <v/>
      </c>
      <c r="H169" s="22">
        <f>IF(ABS(G169-Data!I169)&lt;Summary!$B$4,"OK","CHECK")</f>
        <v/>
      </c>
      <c r="I169" s="1" t="n"/>
      <c r="J169" s="1" t="n"/>
    </row>
    <row r="170">
      <c r="A170" s="17">
        <f>Data!A170</f>
        <v/>
      </c>
      <c r="B170" s="63">
        <f>Data!B170</f>
        <v/>
      </c>
      <c r="C170" s="17">
        <f>Data!D170</f>
        <v/>
      </c>
      <c r="D170" s="64">
        <f>IFERROR(Data!G170/Data!H170,0)</f>
        <v/>
      </c>
      <c r="E170" s="64">
        <f>IFERROR(Data!L170/Data!K170,0)</f>
        <v/>
      </c>
      <c r="F170" s="65">
        <f>Data!F170-Data!E170</f>
        <v/>
      </c>
      <c r="G170" s="21">
        <f>IFERROR(Data!G170/Data!F170,0)</f>
        <v/>
      </c>
      <c r="H170" s="22">
        <f>IF(ABS(G170-Data!I170)&lt;Summary!$B$4,"OK","CHECK")</f>
        <v/>
      </c>
      <c r="I170" s="1" t="n"/>
      <c r="J170" s="1" t="n"/>
    </row>
    <row r="171">
      <c r="A171" s="17">
        <f>Data!A171</f>
        <v/>
      </c>
      <c r="B171" s="63">
        <f>Data!B171</f>
        <v/>
      </c>
      <c r="C171" s="17">
        <f>Data!D171</f>
        <v/>
      </c>
      <c r="D171" s="64">
        <f>IFERROR(Data!G171/Data!H171,0)</f>
        <v/>
      </c>
      <c r="E171" s="64">
        <f>IFERROR(Data!L171/Data!K171,0)</f>
        <v/>
      </c>
      <c r="F171" s="65">
        <f>Data!F171-Data!E171</f>
        <v/>
      </c>
      <c r="G171" s="21">
        <f>IFERROR(Data!G171/Data!F171,0)</f>
        <v/>
      </c>
      <c r="H171" s="22">
        <f>IF(ABS(G171-Data!I171)&lt;Summary!$B$4,"OK","CHECK")</f>
        <v/>
      </c>
      <c r="I171" s="1" t="n"/>
      <c r="J171" s="1" t="n"/>
    </row>
    <row r="172">
      <c r="A172" s="17">
        <f>Data!A172</f>
        <v/>
      </c>
      <c r="B172" s="63">
        <f>Data!B172</f>
        <v/>
      </c>
      <c r="C172" s="17">
        <f>Data!D172</f>
        <v/>
      </c>
      <c r="D172" s="64">
        <f>IFERROR(Data!G172/Data!H172,0)</f>
        <v/>
      </c>
      <c r="E172" s="64">
        <f>IFERROR(Data!L172/Data!K172,0)</f>
        <v/>
      </c>
      <c r="F172" s="65">
        <f>Data!F172-Data!E172</f>
        <v/>
      </c>
      <c r="G172" s="21">
        <f>IFERROR(Data!G172/Data!F172,0)</f>
        <v/>
      </c>
      <c r="H172" s="22">
        <f>IF(ABS(G172-Data!I172)&lt;Summary!$B$4,"OK","CHECK")</f>
        <v/>
      </c>
      <c r="I172" s="1" t="n"/>
      <c r="J172" s="1" t="n"/>
    </row>
    <row r="173">
      <c r="A173" s="17">
        <f>Data!A173</f>
        <v/>
      </c>
      <c r="B173" s="63">
        <f>Data!B173</f>
        <v/>
      </c>
      <c r="C173" s="17">
        <f>Data!D173</f>
        <v/>
      </c>
      <c r="D173" s="64">
        <f>IFERROR(Data!G173/Data!H173,0)</f>
        <v/>
      </c>
      <c r="E173" s="64">
        <f>IFERROR(Data!L173/Data!K173,0)</f>
        <v/>
      </c>
      <c r="F173" s="65">
        <f>Data!F173-Data!E173</f>
        <v/>
      </c>
      <c r="G173" s="21">
        <f>IFERROR(Data!G173/Data!F173,0)</f>
        <v/>
      </c>
      <c r="H173" s="22">
        <f>IF(ABS(G173-Data!I173)&lt;Summary!$B$4,"OK","CHECK")</f>
        <v/>
      </c>
      <c r="I173" s="1" t="n"/>
      <c r="J173" s="1" t="n"/>
    </row>
    <row r="174">
      <c r="A174" s="17">
        <f>Data!A174</f>
        <v/>
      </c>
      <c r="B174" s="63">
        <f>Data!B174</f>
        <v/>
      </c>
      <c r="C174" s="17">
        <f>Data!D174</f>
        <v/>
      </c>
      <c r="D174" s="64">
        <f>IFERROR(Data!G174/Data!H174,0)</f>
        <v/>
      </c>
      <c r="E174" s="64">
        <f>IFERROR(Data!L174/Data!K174,0)</f>
        <v/>
      </c>
      <c r="F174" s="65">
        <f>Data!F174-Data!E174</f>
        <v/>
      </c>
      <c r="G174" s="21">
        <f>IFERROR(Data!G174/Data!F174,0)</f>
        <v/>
      </c>
      <c r="H174" s="22">
        <f>IF(ABS(G174-Data!I174)&lt;Summary!$B$4,"OK","CHECK")</f>
        <v/>
      </c>
      <c r="I174" s="1" t="n"/>
      <c r="J174" s="1" t="n"/>
    </row>
    <row r="175">
      <c r="A175" s="17">
        <f>Data!A175</f>
        <v/>
      </c>
      <c r="B175" s="63">
        <f>Data!B175</f>
        <v/>
      </c>
      <c r="C175" s="17">
        <f>Data!D175</f>
        <v/>
      </c>
      <c r="D175" s="64">
        <f>IFERROR(Data!G175/Data!H175,0)</f>
        <v/>
      </c>
      <c r="E175" s="64">
        <f>IFERROR(Data!L175/Data!K175,0)</f>
        <v/>
      </c>
      <c r="F175" s="65">
        <f>Data!F175-Data!E175</f>
        <v/>
      </c>
      <c r="G175" s="21">
        <f>IFERROR(Data!G175/Data!F175,0)</f>
        <v/>
      </c>
      <c r="H175" s="22">
        <f>IF(ABS(G175-Data!I175)&lt;Summary!$B$4,"OK","CHECK")</f>
        <v/>
      </c>
      <c r="I175" s="1" t="n"/>
      <c r="J175" s="1" t="n"/>
    </row>
    <row r="176">
      <c r="A176" s="17">
        <f>Data!A176</f>
        <v/>
      </c>
      <c r="B176" s="63">
        <f>Data!B176</f>
        <v/>
      </c>
      <c r="C176" s="17">
        <f>Data!D176</f>
        <v/>
      </c>
      <c r="D176" s="64">
        <f>IFERROR(Data!G176/Data!H176,0)</f>
        <v/>
      </c>
      <c r="E176" s="64">
        <f>IFERROR(Data!L176/Data!K176,0)</f>
        <v/>
      </c>
      <c r="F176" s="65">
        <f>Data!F176-Data!E176</f>
        <v/>
      </c>
      <c r="G176" s="21">
        <f>IFERROR(Data!G176/Data!F176,0)</f>
        <v/>
      </c>
      <c r="H176" s="22">
        <f>IF(ABS(G176-Data!I176)&lt;Summary!$B$4,"OK","CHECK")</f>
        <v/>
      </c>
      <c r="I176" s="1" t="n"/>
      <c r="J176" s="1" t="n"/>
    </row>
    <row r="177">
      <c r="A177" s="17">
        <f>Data!A177</f>
        <v/>
      </c>
      <c r="B177" s="63">
        <f>Data!B177</f>
        <v/>
      </c>
      <c r="C177" s="17">
        <f>Data!D177</f>
        <v/>
      </c>
      <c r="D177" s="64">
        <f>IFERROR(Data!G177/Data!H177,0)</f>
        <v/>
      </c>
      <c r="E177" s="64">
        <f>IFERROR(Data!L177/Data!K177,0)</f>
        <v/>
      </c>
      <c r="F177" s="65">
        <f>Data!F177-Data!E177</f>
        <v/>
      </c>
      <c r="G177" s="21">
        <f>IFERROR(Data!G177/Data!F177,0)</f>
        <v/>
      </c>
      <c r="H177" s="22">
        <f>IF(ABS(G177-Data!I177)&lt;Summary!$B$4,"OK","CHECK")</f>
        <v/>
      </c>
      <c r="I177" s="1" t="n"/>
      <c r="J177" s="1" t="n"/>
    </row>
    <row r="178">
      <c r="A178" s="17">
        <f>Data!A178</f>
        <v/>
      </c>
      <c r="B178" s="63">
        <f>Data!B178</f>
        <v/>
      </c>
      <c r="C178" s="17">
        <f>Data!D178</f>
        <v/>
      </c>
      <c r="D178" s="64">
        <f>IFERROR(Data!G178/Data!H178,0)</f>
        <v/>
      </c>
      <c r="E178" s="64">
        <f>IFERROR(Data!L178/Data!K178,0)</f>
        <v/>
      </c>
      <c r="F178" s="65">
        <f>Data!F178-Data!E178</f>
        <v/>
      </c>
      <c r="G178" s="21">
        <f>IFERROR(Data!G178/Data!F178,0)</f>
        <v/>
      </c>
      <c r="H178" s="22">
        <f>IF(ABS(G178-Data!I178)&lt;Summary!$B$4,"OK","CHECK")</f>
        <v/>
      </c>
      <c r="I178" s="1" t="n"/>
      <c r="J178" s="1" t="n"/>
    </row>
    <row r="179">
      <c r="A179" s="17">
        <f>Data!A179</f>
        <v/>
      </c>
      <c r="B179" s="63">
        <f>Data!B179</f>
        <v/>
      </c>
      <c r="C179" s="17">
        <f>Data!D179</f>
        <v/>
      </c>
      <c r="D179" s="64">
        <f>IFERROR(Data!G179/Data!H179,0)</f>
        <v/>
      </c>
      <c r="E179" s="64">
        <f>IFERROR(Data!L179/Data!K179,0)</f>
        <v/>
      </c>
      <c r="F179" s="65">
        <f>Data!F179-Data!E179</f>
        <v/>
      </c>
      <c r="G179" s="21">
        <f>IFERROR(Data!G179/Data!F179,0)</f>
        <v/>
      </c>
      <c r="H179" s="22">
        <f>IF(ABS(G179-Data!I179)&lt;Summary!$B$4,"OK","CHECK")</f>
        <v/>
      </c>
      <c r="I179" s="1" t="n"/>
      <c r="J179" s="1" t="n"/>
    </row>
    <row r="180">
      <c r="A180" s="17">
        <f>Data!A180</f>
        <v/>
      </c>
      <c r="B180" s="63">
        <f>Data!B180</f>
        <v/>
      </c>
      <c r="C180" s="17">
        <f>Data!D180</f>
        <v/>
      </c>
      <c r="D180" s="64">
        <f>IFERROR(Data!G180/Data!H180,0)</f>
        <v/>
      </c>
      <c r="E180" s="64">
        <f>IFERROR(Data!L180/Data!K180,0)</f>
        <v/>
      </c>
      <c r="F180" s="65">
        <f>Data!F180-Data!E180</f>
        <v/>
      </c>
      <c r="G180" s="21">
        <f>IFERROR(Data!G180/Data!F180,0)</f>
        <v/>
      </c>
      <c r="H180" s="22">
        <f>IF(ABS(G180-Data!I180)&lt;Summary!$B$4,"OK","CHECK")</f>
        <v/>
      </c>
      <c r="I180" s="1" t="n"/>
      <c r="J180" s="1" t="n"/>
    </row>
    <row r="181">
      <c r="A181" s="17">
        <f>Data!A181</f>
        <v/>
      </c>
      <c r="B181" s="63">
        <f>Data!B181</f>
        <v/>
      </c>
      <c r="C181" s="17">
        <f>Data!D181</f>
        <v/>
      </c>
      <c r="D181" s="64">
        <f>IFERROR(Data!G181/Data!H181,0)</f>
        <v/>
      </c>
      <c r="E181" s="64">
        <f>IFERROR(Data!L181/Data!K181,0)</f>
        <v/>
      </c>
      <c r="F181" s="65">
        <f>Data!F181-Data!E181</f>
        <v/>
      </c>
      <c r="G181" s="21">
        <f>IFERROR(Data!G181/Data!F181,0)</f>
        <v/>
      </c>
      <c r="H181" s="22">
        <f>IF(ABS(G181-Data!I181)&lt;Summary!$B$4,"OK","CHECK")</f>
        <v/>
      </c>
      <c r="I181" s="1" t="n"/>
      <c r="J181" s="1" t="n"/>
    </row>
    <row r="182">
      <c r="A182" s="17">
        <f>Data!A182</f>
        <v/>
      </c>
      <c r="B182" s="63">
        <f>Data!B182</f>
        <v/>
      </c>
      <c r="C182" s="17">
        <f>Data!D182</f>
        <v/>
      </c>
      <c r="D182" s="64">
        <f>IFERROR(Data!G182/Data!H182,0)</f>
        <v/>
      </c>
      <c r="E182" s="64">
        <f>IFERROR(Data!L182/Data!K182,0)</f>
        <v/>
      </c>
      <c r="F182" s="65">
        <f>Data!F182-Data!E182</f>
        <v/>
      </c>
      <c r="G182" s="21">
        <f>IFERROR(Data!G182/Data!F182,0)</f>
        <v/>
      </c>
      <c r="H182" s="22">
        <f>IF(ABS(G182-Data!I182)&lt;Summary!$B$4,"OK","CHECK")</f>
        <v/>
      </c>
      <c r="I182" s="1" t="n"/>
      <c r="J182" s="1" t="n"/>
    </row>
    <row r="183">
      <c r="A183" s="17">
        <f>Data!A183</f>
        <v/>
      </c>
      <c r="B183" s="63">
        <f>Data!B183</f>
        <v/>
      </c>
      <c r="C183" s="17">
        <f>Data!D183</f>
        <v/>
      </c>
      <c r="D183" s="64">
        <f>IFERROR(Data!G183/Data!H183,0)</f>
        <v/>
      </c>
      <c r="E183" s="64">
        <f>IFERROR(Data!L183/Data!K183,0)</f>
        <v/>
      </c>
      <c r="F183" s="65">
        <f>Data!F183-Data!E183</f>
        <v/>
      </c>
      <c r="G183" s="21">
        <f>IFERROR(Data!G183/Data!F183,0)</f>
        <v/>
      </c>
      <c r="H183" s="22">
        <f>IF(ABS(G183-Data!I183)&lt;Summary!$B$4,"OK","CHECK")</f>
        <v/>
      </c>
      <c r="I183" s="1" t="n"/>
      <c r="J183" s="1" t="n"/>
    </row>
    <row r="184">
      <c r="A184" s="17">
        <f>Data!A184</f>
        <v/>
      </c>
      <c r="B184" s="63">
        <f>Data!B184</f>
        <v/>
      </c>
      <c r="C184" s="17">
        <f>Data!D184</f>
        <v/>
      </c>
      <c r="D184" s="64">
        <f>IFERROR(Data!G184/Data!H184,0)</f>
        <v/>
      </c>
      <c r="E184" s="64">
        <f>IFERROR(Data!L184/Data!K184,0)</f>
        <v/>
      </c>
      <c r="F184" s="65">
        <f>Data!F184-Data!E184</f>
        <v/>
      </c>
      <c r="G184" s="21">
        <f>IFERROR(Data!G184/Data!F184,0)</f>
        <v/>
      </c>
      <c r="H184" s="22">
        <f>IF(ABS(G184-Data!I184)&lt;Summary!$B$4,"OK","CHECK")</f>
        <v/>
      </c>
      <c r="I184" s="1" t="n"/>
      <c r="J184" s="1" t="n"/>
    </row>
    <row r="185">
      <c r="A185" s="17">
        <f>Data!A185</f>
        <v/>
      </c>
      <c r="B185" s="63">
        <f>Data!B185</f>
        <v/>
      </c>
      <c r="C185" s="17">
        <f>Data!D185</f>
        <v/>
      </c>
      <c r="D185" s="64">
        <f>IFERROR(Data!G185/Data!H185,0)</f>
        <v/>
      </c>
      <c r="E185" s="64">
        <f>IFERROR(Data!L185/Data!K185,0)</f>
        <v/>
      </c>
      <c r="F185" s="65">
        <f>Data!F185-Data!E185</f>
        <v/>
      </c>
      <c r="G185" s="21">
        <f>IFERROR(Data!G185/Data!F185,0)</f>
        <v/>
      </c>
      <c r="H185" s="22">
        <f>IF(ABS(G185-Data!I185)&lt;Summary!$B$4,"OK","CHECK")</f>
        <v/>
      </c>
      <c r="I185" s="1" t="n"/>
      <c r="J185" s="1" t="n"/>
    </row>
    <row r="186">
      <c r="A186" s="17">
        <f>Data!A186</f>
        <v/>
      </c>
      <c r="B186" s="63">
        <f>Data!B186</f>
        <v/>
      </c>
      <c r="C186" s="17">
        <f>Data!D186</f>
        <v/>
      </c>
      <c r="D186" s="64">
        <f>IFERROR(Data!G186/Data!H186,0)</f>
        <v/>
      </c>
      <c r="E186" s="64">
        <f>IFERROR(Data!L186/Data!K186,0)</f>
        <v/>
      </c>
      <c r="F186" s="65">
        <f>Data!F186-Data!E186</f>
        <v/>
      </c>
      <c r="G186" s="21">
        <f>IFERROR(Data!G186/Data!F186,0)</f>
        <v/>
      </c>
      <c r="H186" s="22">
        <f>IF(ABS(G186-Data!I186)&lt;Summary!$B$4,"OK","CHECK")</f>
        <v/>
      </c>
      <c r="I186" s="1" t="n"/>
      <c r="J186" s="1" t="n"/>
    </row>
    <row r="187">
      <c r="A187" s="17">
        <f>Data!A187</f>
        <v/>
      </c>
      <c r="B187" s="63">
        <f>Data!B187</f>
        <v/>
      </c>
      <c r="C187" s="17">
        <f>Data!D187</f>
        <v/>
      </c>
      <c r="D187" s="64">
        <f>IFERROR(Data!G187/Data!H187,0)</f>
        <v/>
      </c>
      <c r="E187" s="64">
        <f>IFERROR(Data!L187/Data!K187,0)</f>
        <v/>
      </c>
      <c r="F187" s="65">
        <f>Data!F187-Data!E187</f>
        <v/>
      </c>
      <c r="G187" s="21">
        <f>IFERROR(Data!G187/Data!F187,0)</f>
        <v/>
      </c>
      <c r="H187" s="22">
        <f>IF(ABS(G187-Data!I187)&lt;Summary!$B$4,"OK","CHECK")</f>
        <v/>
      </c>
      <c r="I187" s="1" t="n"/>
      <c r="J187" s="1" t="n"/>
    </row>
    <row r="188">
      <c r="A188" s="17">
        <f>Data!A188</f>
        <v/>
      </c>
      <c r="B188" s="63">
        <f>Data!B188</f>
        <v/>
      </c>
      <c r="C188" s="17">
        <f>Data!D188</f>
        <v/>
      </c>
      <c r="D188" s="64">
        <f>IFERROR(Data!G188/Data!H188,0)</f>
        <v/>
      </c>
      <c r="E188" s="64">
        <f>IFERROR(Data!L188/Data!K188,0)</f>
        <v/>
      </c>
      <c r="F188" s="65">
        <f>Data!F188-Data!E188</f>
        <v/>
      </c>
      <c r="G188" s="21">
        <f>IFERROR(Data!G188/Data!F188,0)</f>
        <v/>
      </c>
      <c r="H188" s="22">
        <f>IF(ABS(G188-Data!I188)&lt;Summary!$B$4,"OK","CHECK")</f>
        <v/>
      </c>
      <c r="I188" s="1" t="n"/>
      <c r="J188" s="1" t="n"/>
    </row>
    <row r="189">
      <c r="A189" s="17">
        <f>Data!A189</f>
        <v/>
      </c>
      <c r="B189" s="63">
        <f>Data!B189</f>
        <v/>
      </c>
      <c r="C189" s="17">
        <f>Data!D189</f>
        <v/>
      </c>
      <c r="D189" s="64">
        <f>IFERROR(Data!G189/Data!H189,0)</f>
        <v/>
      </c>
      <c r="E189" s="64">
        <f>IFERROR(Data!L189/Data!K189,0)</f>
        <v/>
      </c>
      <c r="F189" s="65">
        <f>Data!F189-Data!E189</f>
        <v/>
      </c>
      <c r="G189" s="21">
        <f>IFERROR(Data!G189/Data!F189,0)</f>
        <v/>
      </c>
      <c r="H189" s="22">
        <f>IF(ABS(G189-Data!I189)&lt;Summary!$B$4,"OK","CHECK")</f>
        <v/>
      </c>
      <c r="I189" s="1" t="n"/>
      <c r="J189" s="1" t="n"/>
    </row>
    <row r="190">
      <c r="A190" s="17">
        <f>Data!A190</f>
        <v/>
      </c>
      <c r="B190" s="63">
        <f>Data!B190</f>
        <v/>
      </c>
      <c r="C190" s="17">
        <f>Data!D190</f>
        <v/>
      </c>
      <c r="D190" s="64">
        <f>IFERROR(Data!G190/Data!H190,0)</f>
        <v/>
      </c>
      <c r="E190" s="64">
        <f>IFERROR(Data!L190/Data!K190,0)</f>
        <v/>
      </c>
      <c r="F190" s="65">
        <f>Data!F190-Data!E190</f>
        <v/>
      </c>
      <c r="G190" s="21">
        <f>IFERROR(Data!G190/Data!F190,0)</f>
        <v/>
      </c>
      <c r="H190" s="22">
        <f>IF(ABS(G190-Data!I190)&lt;Summary!$B$4,"OK","CHECK")</f>
        <v/>
      </c>
      <c r="I190" s="1" t="n"/>
      <c r="J190" s="1" t="n"/>
    </row>
    <row r="191">
      <c r="A191" s="17">
        <f>Data!A191</f>
        <v/>
      </c>
      <c r="B191" s="63">
        <f>Data!B191</f>
        <v/>
      </c>
      <c r="C191" s="17">
        <f>Data!D191</f>
        <v/>
      </c>
      <c r="D191" s="64">
        <f>IFERROR(Data!G191/Data!H191,0)</f>
        <v/>
      </c>
      <c r="E191" s="64">
        <f>IFERROR(Data!L191/Data!K191,0)</f>
        <v/>
      </c>
      <c r="F191" s="65">
        <f>Data!F191-Data!E191</f>
        <v/>
      </c>
      <c r="G191" s="21">
        <f>IFERROR(Data!G191/Data!F191,0)</f>
        <v/>
      </c>
      <c r="H191" s="22">
        <f>IF(ABS(G191-Data!I191)&lt;Summary!$B$4,"OK","CHECK")</f>
        <v/>
      </c>
      <c r="I191" s="1" t="n"/>
      <c r="J191" s="1" t="n"/>
    </row>
    <row r="192">
      <c r="A192" s="17">
        <f>Data!A192</f>
        <v/>
      </c>
      <c r="B192" s="63">
        <f>Data!B192</f>
        <v/>
      </c>
      <c r="C192" s="17">
        <f>Data!D192</f>
        <v/>
      </c>
      <c r="D192" s="64">
        <f>IFERROR(Data!G192/Data!H192,0)</f>
        <v/>
      </c>
      <c r="E192" s="64">
        <f>IFERROR(Data!L192/Data!K192,0)</f>
        <v/>
      </c>
      <c r="F192" s="65">
        <f>Data!F192-Data!E192</f>
        <v/>
      </c>
      <c r="G192" s="21">
        <f>IFERROR(Data!G192/Data!F192,0)</f>
        <v/>
      </c>
      <c r="H192" s="22">
        <f>IF(ABS(G192-Data!I192)&lt;Summary!$B$4,"OK","CHECK")</f>
        <v/>
      </c>
      <c r="I192" s="1" t="n"/>
      <c r="J192" s="1" t="n"/>
    </row>
    <row r="193">
      <c r="A193" s="17">
        <f>Data!A193</f>
        <v/>
      </c>
      <c r="B193" s="63">
        <f>Data!B193</f>
        <v/>
      </c>
      <c r="C193" s="17">
        <f>Data!D193</f>
        <v/>
      </c>
      <c r="D193" s="64">
        <f>IFERROR(Data!G193/Data!H193,0)</f>
        <v/>
      </c>
      <c r="E193" s="64">
        <f>IFERROR(Data!L193/Data!K193,0)</f>
        <v/>
      </c>
      <c r="F193" s="65">
        <f>Data!F193-Data!E193</f>
        <v/>
      </c>
      <c r="G193" s="21">
        <f>IFERROR(Data!G193/Data!F193,0)</f>
        <v/>
      </c>
      <c r="H193" s="22">
        <f>IF(ABS(G193-Data!I193)&lt;Summary!$B$4,"OK","CHECK")</f>
        <v/>
      </c>
      <c r="I193" s="1" t="n"/>
      <c r="J193" s="1" t="n"/>
    </row>
    <row r="194">
      <c r="A194" s="17">
        <f>Data!A194</f>
        <v/>
      </c>
      <c r="B194" s="63">
        <f>Data!B194</f>
        <v/>
      </c>
      <c r="C194" s="17">
        <f>Data!D194</f>
        <v/>
      </c>
      <c r="D194" s="64">
        <f>IFERROR(Data!G194/Data!H194,0)</f>
        <v/>
      </c>
      <c r="E194" s="64">
        <f>IFERROR(Data!L194/Data!K194,0)</f>
        <v/>
      </c>
      <c r="F194" s="65">
        <f>Data!F194-Data!E194</f>
        <v/>
      </c>
      <c r="G194" s="21">
        <f>IFERROR(Data!G194/Data!F194,0)</f>
        <v/>
      </c>
      <c r="H194" s="22">
        <f>IF(ABS(G194-Data!I194)&lt;Summary!$B$4,"OK","CHECK")</f>
        <v/>
      </c>
      <c r="I194" s="1" t="n"/>
      <c r="J194" s="1" t="n"/>
    </row>
    <row r="195">
      <c r="A195" s="17">
        <f>Data!A195</f>
        <v/>
      </c>
      <c r="B195" s="63">
        <f>Data!B195</f>
        <v/>
      </c>
      <c r="C195" s="17">
        <f>Data!D195</f>
        <v/>
      </c>
      <c r="D195" s="64">
        <f>IFERROR(Data!G195/Data!H195,0)</f>
        <v/>
      </c>
      <c r="E195" s="64">
        <f>IFERROR(Data!L195/Data!K195,0)</f>
        <v/>
      </c>
      <c r="F195" s="65">
        <f>Data!F195-Data!E195</f>
        <v/>
      </c>
      <c r="G195" s="21">
        <f>IFERROR(Data!G195/Data!F195,0)</f>
        <v/>
      </c>
      <c r="H195" s="22">
        <f>IF(ABS(G195-Data!I195)&lt;Summary!$B$4,"OK","CHECK")</f>
        <v/>
      </c>
      <c r="I195" s="1" t="n"/>
      <c r="J195" s="1" t="n"/>
    </row>
    <row r="196">
      <c r="A196" s="17">
        <f>Data!A196</f>
        <v/>
      </c>
      <c r="B196" s="63">
        <f>Data!B196</f>
        <v/>
      </c>
      <c r="C196" s="17">
        <f>Data!D196</f>
        <v/>
      </c>
      <c r="D196" s="64">
        <f>IFERROR(Data!G196/Data!H196,0)</f>
        <v/>
      </c>
      <c r="E196" s="64">
        <f>IFERROR(Data!L196/Data!K196,0)</f>
        <v/>
      </c>
      <c r="F196" s="65">
        <f>Data!F196-Data!E196</f>
        <v/>
      </c>
      <c r="G196" s="21">
        <f>IFERROR(Data!G196/Data!F196,0)</f>
        <v/>
      </c>
      <c r="H196" s="22">
        <f>IF(ABS(G196-Data!I196)&lt;Summary!$B$4,"OK","CHECK")</f>
        <v/>
      </c>
      <c r="I196" s="1" t="n"/>
      <c r="J196" s="1" t="n"/>
    </row>
    <row r="197">
      <c r="A197" s="17">
        <f>Data!A197</f>
        <v/>
      </c>
      <c r="B197" s="63">
        <f>Data!B197</f>
        <v/>
      </c>
      <c r="C197" s="17">
        <f>Data!D197</f>
        <v/>
      </c>
      <c r="D197" s="64">
        <f>IFERROR(Data!G197/Data!H197,0)</f>
        <v/>
      </c>
      <c r="E197" s="64">
        <f>IFERROR(Data!L197/Data!K197,0)</f>
        <v/>
      </c>
      <c r="F197" s="65">
        <f>Data!F197-Data!E197</f>
        <v/>
      </c>
      <c r="G197" s="21">
        <f>IFERROR(Data!G197/Data!F197,0)</f>
        <v/>
      </c>
      <c r="H197" s="22">
        <f>IF(ABS(G197-Data!I197)&lt;Summary!$B$4,"OK","CHECK")</f>
        <v/>
      </c>
      <c r="I197" s="1" t="n"/>
      <c r="J197" s="1" t="n"/>
    </row>
    <row r="198">
      <c r="A198" s="17">
        <f>Data!A198</f>
        <v/>
      </c>
      <c r="B198" s="63">
        <f>Data!B198</f>
        <v/>
      </c>
      <c r="C198" s="17">
        <f>Data!D198</f>
        <v/>
      </c>
      <c r="D198" s="64">
        <f>IFERROR(Data!G198/Data!H198,0)</f>
        <v/>
      </c>
      <c r="E198" s="64">
        <f>IFERROR(Data!L198/Data!K198,0)</f>
        <v/>
      </c>
      <c r="F198" s="65">
        <f>Data!F198-Data!E198</f>
        <v/>
      </c>
      <c r="G198" s="21">
        <f>IFERROR(Data!G198/Data!F198,0)</f>
        <v/>
      </c>
      <c r="H198" s="22">
        <f>IF(ABS(G198-Data!I198)&lt;Summary!$B$4,"OK","CHECK")</f>
        <v/>
      </c>
      <c r="I198" s="1" t="n"/>
      <c r="J198" s="1" t="n"/>
    </row>
    <row r="199">
      <c r="A199" s="17">
        <f>Data!A199</f>
        <v/>
      </c>
      <c r="B199" s="63">
        <f>Data!B199</f>
        <v/>
      </c>
      <c r="C199" s="17">
        <f>Data!D199</f>
        <v/>
      </c>
      <c r="D199" s="64">
        <f>IFERROR(Data!G199/Data!H199,0)</f>
        <v/>
      </c>
      <c r="E199" s="64">
        <f>IFERROR(Data!L199/Data!K199,0)</f>
        <v/>
      </c>
      <c r="F199" s="65">
        <f>Data!F199-Data!E199</f>
        <v/>
      </c>
      <c r="G199" s="21">
        <f>IFERROR(Data!G199/Data!F199,0)</f>
        <v/>
      </c>
      <c r="H199" s="22">
        <f>IF(ABS(G199-Data!I199)&lt;Summary!$B$4,"OK","CHECK")</f>
        <v/>
      </c>
      <c r="I199" s="1" t="n"/>
      <c r="J199" s="1" t="n"/>
    </row>
    <row r="200">
      <c r="A200" s="17">
        <f>Data!A200</f>
        <v/>
      </c>
      <c r="B200" s="63">
        <f>Data!B200</f>
        <v/>
      </c>
      <c r="C200" s="17">
        <f>Data!D200</f>
        <v/>
      </c>
      <c r="D200" s="64">
        <f>IFERROR(Data!G200/Data!H200,0)</f>
        <v/>
      </c>
      <c r="E200" s="64">
        <f>IFERROR(Data!L200/Data!K200,0)</f>
        <v/>
      </c>
      <c r="F200" s="65">
        <f>Data!F200-Data!E200</f>
        <v/>
      </c>
      <c r="G200" s="21">
        <f>IFERROR(Data!G200/Data!F200,0)</f>
        <v/>
      </c>
      <c r="H200" s="22">
        <f>IF(ABS(G200-Data!I200)&lt;Summary!$B$4,"OK","CHECK")</f>
        <v/>
      </c>
      <c r="I200" s="1" t="n"/>
      <c r="J200" s="1" t="n"/>
    </row>
    <row r="201">
      <c r="A201" s="17">
        <f>Data!A201</f>
        <v/>
      </c>
      <c r="B201" s="63">
        <f>Data!B201</f>
        <v/>
      </c>
      <c r="C201" s="17">
        <f>Data!D201</f>
        <v/>
      </c>
      <c r="D201" s="64">
        <f>IFERROR(Data!G201/Data!H201,0)</f>
        <v/>
      </c>
      <c r="E201" s="64">
        <f>IFERROR(Data!L201/Data!K201,0)</f>
        <v/>
      </c>
      <c r="F201" s="65">
        <f>Data!F201-Data!E201</f>
        <v/>
      </c>
      <c r="G201" s="21">
        <f>IFERROR(Data!G201/Data!F201,0)</f>
        <v/>
      </c>
      <c r="H201" s="22">
        <f>IF(ABS(G201-Data!I201)&lt;Summary!$B$4,"OK","CHECK")</f>
        <v/>
      </c>
      <c r="I201" s="1" t="n"/>
      <c r="J201" s="1" t="n"/>
    </row>
    <row r="202">
      <c r="A202" s="17">
        <f>Data!A202</f>
        <v/>
      </c>
      <c r="B202" s="63">
        <f>Data!B202</f>
        <v/>
      </c>
      <c r="C202" s="17">
        <f>Data!D202</f>
        <v/>
      </c>
      <c r="D202" s="64">
        <f>IFERROR(Data!G202/Data!H202,0)</f>
        <v/>
      </c>
      <c r="E202" s="64">
        <f>IFERROR(Data!L202/Data!K202,0)</f>
        <v/>
      </c>
      <c r="F202" s="65">
        <f>Data!F202-Data!E202</f>
        <v/>
      </c>
      <c r="G202" s="21">
        <f>IFERROR(Data!G202/Data!F202,0)</f>
        <v/>
      </c>
      <c r="H202" s="22">
        <f>IF(ABS(G202-Data!I202)&lt;Summary!$B$4,"OK","CHECK")</f>
        <v/>
      </c>
      <c r="I202" s="1" t="n"/>
      <c r="J202" s="1" t="n"/>
    </row>
    <row r="203">
      <c r="A203" s="17">
        <f>Data!A203</f>
        <v/>
      </c>
      <c r="B203" s="63">
        <f>Data!B203</f>
        <v/>
      </c>
      <c r="C203" s="17">
        <f>Data!D203</f>
        <v/>
      </c>
      <c r="D203" s="64">
        <f>IFERROR(Data!G203/Data!H203,0)</f>
        <v/>
      </c>
      <c r="E203" s="64">
        <f>IFERROR(Data!L203/Data!K203,0)</f>
        <v/>
      </c>
      <c r="F203" s="65">
        <f>Data!F203-Data!E203</f>
        <v/>
      </c>
      <c r="G203" s="21">
        <f>IFERROR(Data!G203/Data!F203,0)</f>
        <v/>
      </c>
      <c r="H203" s="22">
        <f>IF(ABS(G203-Data!I203)&lt;Summary!$B$4,"OK","CHECK")</f>
        <v/>
      </c>
      <c r="I203" s="1" t="n"/>
      <c r="J203" s="1" t="n"/>
    </row>
    <row r="204">
      <c r="A204" s="17">
        <f>Data!A204</f>
        <v/>
      </c>
      <c r="B204" s="63">
        <f>Data!B204</f>
        <v/>
      </c>
      <c r="C204" s="17">
        <f>Data!D204</f>
        <v/>
      </c>
      <c r="D204" s="64">
        <f>IFERROR(Data!G204/Data!H204,0)</f>
        <v/>
      </c>
      <c r="E204" s="64">
        <f>IFERROR(Data!L204/Data!K204,0)</f>
        <v/>
      </c>
      <c r="F204" s="65">
        <f>Data!F204-Data!E204</f>
        <v/>
      </c>
      <c r="G204" s="21">
        <f>IFERROR(Data!G204/Data!F204,0)</f>
        <v/>
      </c>
      <c r="H204" s="22">
        <f>IF(ABS(G204-Data!I204)&lt;Summary!$B$4,"OK","CHECK")</f>
        <v/>
      </c>
      <c r="I204" s="1" t="n"/>
      <c r="J204" s="1" t="n"/>
    </row>
    <row r="205">
      <c r="A205" s="17">
        <f>Data!A205</f>
        <v/>
      </c>
      <c r="B205" s="63">
        <f>Data!B205</f>
        <v/>
      </c>
      <c r="C205" s="17">
        <f>Data!D205</f>
        <v/>
      </c>
      <c r="D205" s="64">
        <f>IFERROR(Data!G205/Data!H205,0)</f>
        <v/>
      </c>
      <c r="E205" s="64">
        <f>IFERROR(Data!L205/Data!K205,0)</f>
        <v/>
      </c>
      <c r="F205" s="65">
        <f>Data!F205-Data!E205</f>
        <v/>
      </c>
      <c r="G205" s="21">
        <f>IFERROR(Data!G205/Data!F205,0)</f>
        <v/>
      </c>
      <c r="H205" s="22">
        <f>IF(ABS(G205-Data!I205)&lt;Summary!$B$4,"OK","CHECK")</f>
        <v/>
      </c>
      <c r="I205" s="1" t="n"/>
      <c r="J205" s="1" t="n"/>
    </row>
    <row r="206">
      <c r="A206" s="17">
        <f>Data!A206</f>
        <v/>
      </c>
      <c r="B206" s="63">
        <f>Data!B206</f>
        <v/>
      </c>
      <c r="C206" s="17">
        <f>Data!D206</f>
        <v/>
      </c>
      <c r="D206" s="64">
        <f>IFERROR(Data!G206/Data!H206,0)</f>
        <v/>
      </c>
      <c r="E206" s="64">
        <f>IFERROR(Data!L206/Data!K206,0)</f>
        <v/>
      </c>
      <c r="F206" s="65">
        <f>Data!F206-Data!E206</f>
        <v/>
      </c>
      <c r="G206" s="21">
        <f>IFERROR(Data!G206/Data!F206,0)</f>
        <v/>
      </c>
      <c r="H206" s="22">
        <f>IF(ABS(G206-Data!I206)&lt;Summary!$B$4,"OK","CHECK")</f>
        <v/>
      </c>
      <c r="I206" s="1" t="n"/>
      <c r="J206" s="1" t="n"/>
    </row>
    <row r="207">
      <c r="A207" s="17">
        <f>Data!A207</f>
        <v/>
      </c>
      <c r="B207" s="63">
        <f>Data!B207</f>
        <v/>
      </c>
      <c r="C207" s="17">
        <f>Data!D207</f>
        <v/>
      </c>
      <c r="D207" s="64">
        <f>IFERROR(Data!G207/Data!H207,0)</f>
        <v/>
      </c>
      <c r="E207" s="64">
        <f>IFERROR(Data!L207/Data!K207,0)</f>
        <v/>
      </c>
      <c r="F207" s="65">
        <f>Data!F207-Data!E207</f>
        <v/>
      </c>
      <c r="G207" s="21">
        <f>IFERROR(Data!G207/Data!F207,0)</f>
        <v/>
      </c>
      <c r="H207" s="22">
        <f>IF(ABS(G207-Data!I207)&lt;Summary!$B$4,"OK","CHECK")</f>
        <v/>
      </c>
      <c r="I207" s="1" t="n"/>
      <c r="J207" s="1" t="n"/>
    </row>
    <row r="208">
      <c r="A208" s="17">
        <f>Data!A208</f>
        <v/>
      </c>
      <c r="B208" s="63">
        <f>Data!B208</f>
        <v/>
      </c>
      <c r="C208" s="17">
        <f>Data!D208</f>
        <v/>
      </c>
      <c r="D208" s="64">
        <f>IFERROR(Data!G208/Data!H208,0)</f>
        <v/>
      </c>
      <c r="E208" s="64">
        <f>IFERROR(Data!L208/Data!K208,0)</f>
        <v/>
      </c>
      <c r="F208" s="65">
        <f>Data!F208-Data!E208</f>
        <v/>
      </c>
      <c r="G208" s="21">
        <f>IFERROR(Data!G208/Data!F208,0)</f>
        <v/>
      </c>
      <c r="H208" s="22">
        <f>IF(ABS(G208-Data!I208)&lt;Summary!$B$4,"OK","CHECK")</f>
        <v/>
      </c>
      <c r="I208" s="1" t="n"/>
      <c r="J208" s="1" t="n"/>
    </row>
    <row r="209">
      <c r="A209" s="17">
        <f>Data!A209</f>
        <v/>
      </c>
      <c r="B209" s="63">
        <f>Data!B209</f>
        <v/>
      </c>
      <c r="C209" s="17">
        <f>Data!D209</f>
        <v/>
      </c>
      <c r="D209" s="64">
        <f>IFERROR(Data!G209/Data!H209,0)</f>
        <v/>
      </c>
      <c r="E209" s="64">
        <f>IFERROR(Data!L209/Data!K209,0)</f>
        <v/>
      </c>
      <c r="F209" s="65">
        <f>Data!F209-Data!E209</f>
        <v/>
      </c>
      <c r="G209" s="21">
        <f>IFERROR(Data!G209/Data!F209,0)</f>
        <v/>
      </c>
      <c r="H209" s="22">
        <f>IF(ABS(G209-Data!I209)&lt;Summary!$B$4,"OK","CHECK")</f>
        <v/>
      </c>
      <c r="I209" s="1" t="n"/>
      <c r="J209" s="1" t="n"/>
    </row>
    <row r="210">
      <c r="A210" s="17">
        <f>Data!A210</f>
        <v/>
      </c>
      <c r="B210" s="63">
        <f>Data!B210</f>
        <v/>
      </c>
      <c r="C210" s="17">
        <f>Data!D210</f>
        <v/>
      </c>
      <c r="D210" s="64">
        <f>IFERROR(Data!G210/Data!H210,0)</f>
        <v/>
      </c>
      <c r="E210" s="64">
        <f>IFERROR(Data!L210/Data!K210,0)</f>
        <v/>
      </c>
      <c r="F210" s="65">
        <f>Data!F210-Data!E210</f>
        <v/>
      </c>
      <c r="G210" s="21">
        <f>IFERROR(Data!G210/Data!F210,0)</f>
        <v/>
      </c>
      <c r="H210" s="22">
        <f>IF(ABS(G210-Data!I210)&lt;Summary!$B$4,"OK","CHECK")</f>
        <v/>
      </c>
      <c r="I210" s="1" t="n"/>
      <c r="J210" s="1" t="n"/>
    </row>
    <row r="211">
      <c r="A211" s="17">
        <f>Data!A211</f>
        <v/>
      </c>
      <c r="B211" s="63">
        <f>Data!B211</f>
        <v/>
      </c>
      <c r="C211" s="17">
        <f>Data!D211</f>
        <v/>
      </c>
      <c r="D211" s="64">
        <f>IFERROR(Data!G211/Data!H211,0)</f>
        <v/>
      </c>
      <c r="E211" s="64">
        <f>IFERROR(Data!L211/Data!K211,0)</f>
        <v/>
      </c>
      <c r="F211" s="65">
        <f>Data!F211-Data!E211</f>
        <v/>
      </c>
      <c r="G211" s="21">
        <f>IFERROR(Data!G211/Data!F211,0)</f>
        <v/>
      </c>
      <c r="H211" s="22">
        <f>IF(ABS(G211-Data!I211)&lt;Summary!$B$4,"OK","CHECK")</f>
        <v/>
      </c>
      <c r="I211" s="1" t="n"/>
      <c r="J211" s="1" t="n"/>
    </row>
    <row r="212">
      <c r="A212" s="17">
        <f>Data!A212</f>
        <v/>
      </c>
      <c r="B212" s="63">
        <f>Data!B212</f>
        <v/>
      </c>
      <c r="C212" s="17">
        <f>Data!D212</f>
        <v/>
      </c>
      <c r="D212" s="64">
        <f>IFERROR(Data!G212/Data!H212,0)</f>
        <v/>
      </c>
      <c r="E212" s="64">
        <f>IFERROR(Data!L212/Data!K212,0)</f>
        <v/>
      </c>
      <c r="F212" s="65">
        <f>Data!F212-Data!E212</f>
        <v/>
      </c>
      <c r="G212" s="21">
        <f>IFERROR(Data!G212/Data!F212,0)</f>
        <v/>
      </c>
      <c r="H212" s="22">
        <f>IF(ABS(G212-Data!I212)&lt;Summary!$B$4,"OK","CHECK")</f>
        <v/>
      </c>
      <c r="I212" s="1" t="n"/>
      <c r="J212" s="1" t="n"/>
    </row>
    <row r="213">
      <c r="A213" s="17">
        <f>Data!A213</f>
        <v/>
      </c>
      <c r="B213" s="63">
        <f>Data!B213</f>
        <v/>
      </c>
      <c r="C213" s="17">
        <f>Data!D213</f>
        <v/>
      </c>
      <c r="D213" s="64">
        <f>IFERROR(Data!G213/Data!H213,0)</f>
        <v/>
      </c>
      <c r="E213" s="64">
        <f>IFERROR(Data!L213/Data!K213,0)</f>
        <v/>
      </c>
      <c r="F213" s="65">
        <f>Data!F213-Data!E213</f>
        <v/>
      </c>
      <c r="G213" s="21">
        <f>IFERROR(Data!G213/Data!F213,0)</f>
        <v/>
      </c>
      <c r="H213" s="22">
        <f>IF(ABS(G213-Data!I213)&lt;Summary!$B$4,"OK","CHECK")</f>
        <v/>
      </c>
      <c r="I213" s="1" t="n"/>
      <c r="J213" s="1" t="n"/>
    </row>
    <row r="214">
      <c r="A214" s="17">
        <f>Data!A214</f>
        <v/>
      </c>
      <c r="B214" s="63">
        <f>Data!B214</f>
        <v/>
      </c>
      <c r="C214" s="17">
        <f>Data!D214</f>
        <v/>
      </c>
      <c r="D214" s="64">
        <f>IFERROR(Data!G214/Data!H214,0)</f>
        <v/>
      </c>
      <c r="E214" s="64">
        <f>IFERROR(Data!L214/Data!K214,0)</f>
        <v/>
      </c>
      <c r="F214" s="65">
        <f>Data!F214-Data!E214</f>
        <v/>
      </c>
      <c r="G214" s="21">
        <f>IFERROR(Data!G214/Data!F214,0)</f>
        <v/>
      </c>
      <c r="H214" s="22">
        <f>IF(ABS(G214-Data!I214)&lt;Summary!$B$4,"OK","CHECK")</f>
        <v/>
      </c>
      <c r="I214" s="1" t="n"/>
      <c r="J214" s="1" t="n"/>
    </row>
    <row r="215">
      <c r="A215" s="17">
        <f>Data!A215</f>
        <v/>
      </c>
      <c r="B215" s="63">
        <f>Data!B215</f>
        <v/>
      </c>
      <c r="C215" s="17">
        <f>Data!D215</f>
        <v/>
      </c>
      <c r="D215" s="64">
        <f>IFERROR(Data!G215/Data!H215,0)</f>
        <v/>
      </c>
      <c r="E215" s="64">
        <f>IFERROR(Data!L215/Data!K215,0)</f>
        <v/>
      </c>
      <c r="F215" s="65">
        <f>Data!F215-Data!E215</f>
        <v/>
      </c>
      <c r="G215" s="21">
        <f>IFERROR(Data!G215/Data!F215,0)</f>
        <v/>
      </c>
      <c r="H215" s="22">
        <f>IF(ABS(G215-Data!I215)&lt;Summary!$B$4,"OK","CHECK")</f>
        <v/>
      </c>
      <c r="I215" s="1" t="n"/>
      <c r="J215" s="1" t="n"/>
    </row>
    <row r="216">
      <c r="A216" s="17">
        <f>Data!A216</f>
        <v/>
      </c>
      <c r="B216" s="63">
        <f>Data!B216</f>
        <v/>
      </c>
      <c r="C216" s="17">
        <f>Data!D216</f>
        <v/>
      </c>
      <c r="D216" s="64">
        <f>IFERROR(Data!G216/Data!H216,0)</f>
        <v/>
      </c>
      <c r="E216" s="64">
        <f>IFERROR(Data!L216/Data!K216,0)</f>
        <v/>
      </c>
      <c r="F216" s="65">
        <f>Data!F216-Data!E216</f>
        <v/>
      </c>
      <c r="G216" s="21">
        <f>IFERROR(Data!G216/Data!F216,0)</f>
        <v/>
      </c>
      <c r="H216" s="22">
        <f>IF(ABS(G216-Data!I216)&lt;Summary!$B$4,"OK","CHECK")</f>
        <v/>
      </c>
      <c r="I216" s="1" t="n"/>
      <c r="J216" s="1" t="n"/>
    </row>
    <row r="217">
      <c r="A217" s="17">
        <f>Data!A217</f>
        <v/>
      </c>
      <c r="B217" s="63">
        <f>Data!B217</f>
        <v/>
      </c>
      <c r="C217" s="17">
        <f>Data!D217</f>
        <v/>
      </c>
      <c r="D217" s="64">
        <f>IFERROR(Data!G217/Data!H217,0)</f>
        <v/>
      </c>
      <c r="E217" s="64">
        <f>IFERROR(Data!L217/Data!K217,0)</f>
        <v/>
      </c>
      <c r="F217" s="65">
        <f>Data!F217-Data!E217</f>
        <v/>
      </c>
      <c r="G217" s="21">
        <f>IFERROR(Data!G217/Data!F217,0)</f>
        <v/>
      </c>
      <c r="H217" s="22">
        <f>IF(ABS(G217-Data!I217)&lt;Summary!$B$4,"OK","CHECK")</f>
        <v/>
      </c>
      <c r="I217" s="1" t="n"/>
      <c r="J217" s="1" t="n"/>
    </row>
    <row r="218">
      <c r="A218" s="17">
        <f>Data!A218</f>
        <v/>
      </c>
      <c r="B218" s="63">
        <f>Data!B218</f>
        <v/>
      </c>
      <c r="C218" s="17">
        <f>Data!D218</f>
        <v/>
      </c>
      <c r="D218" s="64">
        <f>IFERROR(Data!G218/Data!H218,0)</f>
        <v/>
      </c>
      <c r="E218" s="64">
        <f>IFERROR(Data!L218/Data!K218,0)</f>
        <v/>
      </c>
      <c r="F218" s="65">
        <f>Data!F218-Data!E218</f>
        <v/>
      </c>
      <c r="G218" s="21">
        <f>IFERROR(Data!G218/Data!F218,0)</f>
        <v/>
      </c>
      <c r="H218" s="22">
        <f>IF(ABS(G218-Data!I218)&lt;Summary!$B$4,"OK","CHECK")</f>
        <v/>
      </c>
      <c r="I218" s="1" t="n"/>
      <c r="J218" s="1" t="n"/>
    </row>
    <row r="219">
      <c r="A219" s="17">
        <f>Data!A219</f>
        <v/>
      </c>
      <c r="B219" s="63">
        <f>Data!B219</f>
        <v/>
      </c>
      <c r="C219" s="17">
        <f>Data!D219</f>
        <v/>
      </c>
      <c r="D219" s="64">
        <f>IFERROR(Data!G219/Data!H219,0)</f>
        <v/>
      </c>
      <c r="E219" s="64">
        <f>IFERROR(Data!L219/Data!K219,0)</f>
        <v/>
      </c>
      <c r="F219" s="65">
        <f>Data!F219-Data!E219</f>
        <v/>
      </c>
      <c r="G219" s="21">
        <f>IFERROR(Data!G219/Data!F219,0)</f>
        <v/>
      </c>
      <c r="H219" s="22">
        <f>IF(ABS(G219-Data!I219)&lt;Summary!$B$4,"OK","CHECK")</f>
        <v/>
      </c>
      <c r="I219" s="1" t="n"/>
      <c r="J219" s="1" t="n"/>
    </row>
    <row r="220">
      <c r="A220" s="17">
        <f>Data!A220</f>
        <v/>
      </c>
      <c r="B220" s="63">
        <f>Data!B220</f>
        <v/>
      </c>
      <c r="C220" s="17">
        <f>Data!D220</f>
        <v/>
      </c>
      <c r="D220" s="64">
        <f>IFERROR(Data!G220/Data!H220,0)</f>
        <v/>
      </c>
      <c r="E220" s="64">
        <f>IFERROR(Data!L220/Data!K220,0)</f>
        <v/>
      </c>
      <c r="F220" s="65">
        <f>Data!F220-Data!E220</f>
        <v/>
      </c>
      <c r="G220" s="21">
        <f>IFERROR(Data!G220/Data!F220,0)</f>
        <v/>
      </c>
      <c r="H220" s="22">
        <f>IF(ABS(G220-Data!I220)&lt;Summary!$B$4,"OK","CHECK")</f>
        <v/>
      </c>
      <c r="I220" s="1" t="n"/>
      <c r="J220" s="1" t="n"/>
    </row>
    <row r="221">
      <c r="A221" s="17">
        <f>Data!A221</f>
        <v/>
      </c>
      <c r="B221" s="63">
        <f>Data!B221</f>
        <v/>
      </c>
      <c r="C221" s="17">
        <f>Data!D221</f>
        <v/>
      </c>
      <c r="D221" s="64">
        <f>IFERROR(Data!G221/Data!H221,0)</f>
        <v/>
      </c>
      <c r="E221" s="64">
        <f>IFERROR(Data!L221/Data!K221,0)</f>
        <v/>
      </c>
      <c r="F221" s="65">
        <f>Data!F221-Data!E221</f>
        <v/>
      </c>
      <c r="G221" s="21">
        <f>IFERROR(Data!G221/Data!F221,0)</f>
        <v/>
      </c>
      <c r="H221" s="22">
        <f>IF(ABS(G221-Data!I221)&lt;Summary!$B$4,"OK","CHECK")</f>
        <v/>
      </c>
      <c r="I221" s="1" t="n"/>
      <c r="J221" s="1" t="n"/>
    </row>
    <row r="222">
      <c r="A222" s="17">
        <f>Data!A222</f>
        <v/>
      </c>
      <c r="B222" s="63">
        <f>Data!B222</f>
        <v/>
      </c>
      <c r="C222" s="17">
        <f>Data!D222</f>
        <v/>
      </c>
      <c r="D222" s="64">
        <f>IFERROR(Data!G222/Data!H222,0)</f>
        <v/>
      </c>
      <c r="E222" s="64">
        <f>IFERROR(Data!L222/Data!K222,0)</f>
        <v/>
      </c>
      <c r="F222" s="65">
        <f>Data!F222-Data!E222</f>
        <v/>
      </c>
      <c r="G222" s="21">
        <f>IFERROR(Data!G222/Data!F222,0)</f>
        <v/>
      </c>
      <c r="H222" s="22">
        <f>IF(ABS(G222-Data!I222)&lt;Summary!$B$4,"OK","CHECK")</f>
        <v/>
      </c>
      <c r="I222" s="1" t="n"/>
      <c r="J222" s="1" t="n"/>
    </row>
    <row r="223">
      <c r="A223" s="17">
        <f>Data!A223</f>
        <v/>
      </c>
      <c r="B223" s="63">
        <f>Data!B223</f>
        <v/>
      </c>
      <c r="C223" s="17">
        <f>Data!D223</f>
        <v/>
      </c>
      <c r="D223" s="64">
        <f>IFERROR(Data!G223/Data!H223,0)</f>
        <v/>
      </c>
      <c r="E223" s="64">
        <f>IFERROR(Data!L223/Data!K223,0)</f>
        <v/>
      </c>
      <c r="F223" s="65">
        <f>Data!F223-Data!E223</f>
        <v/>
      </c>
      <c r="G223" s="21">
        <f>IFERROR(Data!G223/Data!F223,0)</f>
        <v/>
      </c>
      <c r="H223" s="22">
        <f>IF(ABS(G223-Data!I223)&lt;Summary!$B$4,"OK","CHECK")</f>
        <v/>
      </c>
      <c r="I223" s="1" t="n"/>
      <c r="J223" s="1" t="n"/>
    </row>
    <row r="224">
      <c r="A224" s="17">
        <f>Data!A224</f>
        <v/>
      </c>
      <c r="B224" s="63">
        <f>Data!B224</f>
        <v/>
      </c>
      <c r="C224" s="17">
        <f>Data!D224</f>
        <v/>
      </c>
      <c r="D224" s="64">
        <f>IFERROR(Data!G224/Data!H224,0)</f>
        <v/>
      </c>
      <c r="E224" s="64">
        <f>IFERROR(Data!L224/Data!K224,0)</f>
        <v/>
      </c>
      <c r="F224" s="65">
        <f>Data!F224-Data!E224</f>
        <v/>
      </c>
      <c r="G224" s="21">
        <f>IFERROR(Data!G224/Data!F224,0)</f>
        <v/>
      </c>
      <c r="H224" s="22">
        <f>IF(ABS(G224-Data!I224)&lt;Summary!$B$4,"OK","CHECK")</f>
        <v/>
      </c>
      <c r="I224" s="1" t="n"/>
      <c r="J224" s="1" t="n"/>
    </row>
    <row r="225">
      <c r="A225" s="17">
        <f>Data!A225</f>
        <v/>
      </c>
      <c r="B225" s="63">
        <f>Data!B225</f>
        <v/>
      </c>
      <c r="C225" s="17">
        <f>Data!D225</f>
        <v/>
      </c>
      <c r="D225" s="64">
        <f>IFERROR(Data!G225/Data!H225,0)</f>
        <v/>
      </c>
      <c r="E225" s="64">
        <f>IFERROR(Data!L225/Data!K225,0)</f>
        <v/>
      </c>
      <c r="F225" s="65">
        <f>Data!F225-Data!E225</f>
        <v/>
      </c>
      <c r="G225" s="21">
        <f>IFERROR(Data!G225/Data!F225,0)</f>
        <v/>
      </c>
      <c r="H225" s="22">
        <f>IF(ABS(G225-Data!I225)&lt;Summary!$B$4,"OK","CHECK")</f>
        <v/>
      </c>
      <c r="I225" s="1" t="n"/>
      <c r="J225" s="1" t="n"/>
    </row>
    <row r="226">
      <c r="A226" s="17">
        <f>Data!A226</f>
        <v/>
      </c>
      <c r="B226" s="63">
        <f>Data!B226</f>
        <v/>
      </c>
      <c r="C226" s="17">
        <f>Data!D226</f>
        <v/>
      </c>
      <c r="D226" s="64">
        <f>IFERROR(Data!G226/Data!H226,0)</f>
        <v/>
      </c>
      <c r="E226" s="64">
        <f>IFERROR(Data!L226/Data!K226,0)</f>
        <v/>
      </c>
      <c r="F226" s="65">
        <f>Data!F226-Data!E226</f>
        <v/>
      </c>
      <c r="G226" s="21">
        <f>IFERROR(Data!G226/Data!F226,0)</f>
        <v/>
      </c>
      <c r="H226" s="22">
        <f>IF(ABS(G226-Data!I226)&lt;Summary!$B$4,"OK","CHECK")</f>
        <v/>
      </c>
      <c r="I226" s="1" t="n"/>
      <c r="J226" s="1" t="n"/>
    </row>
    <row r="227">
      <c r="A227" s="17">
        <f>Data!A227</f>
        <v/>
      </c>
      <c r="B227" s="63">
        <f>Data!B227</f>
        <v/>
      </c>
      <c r="C227" s="17">
        <f>Data!D227</f>
        <v/>
      </c>
      <c r="D227" s="64">
        <f>IFERROR(Data!G227/Data!H227,0)</f>
        <v/>
      </c>
      <c r="E227" s="64">
        <f>IFERROR(Data!L227/Data!K227,0)</f>
        <v/>
      </c>
      <c r="F227" s="65">
        <f>Data!F227-Data!E227</f>
        <v/>
      </c>
      <c r="G227" s="21">
        <f>IFERROR(Data!G227/Data!F227,0)</f>
        <v/>
      </c>
      <c r="H227" s="22">
        <f>IF(ABS(G227-Data!I227)&lt;Summary!$B$4,"OK","CHECK")</f>
        <v/>
      </c>
      <c r="I227" s="1" t="n"/>
      <c r="J227" s="1" t="n"/>
    </row>
    <row r="228">
      <c r="A228" s="17">
        <f>Data!A228</f>
        <v/>
      </c>
      <c r="B228" s="63">
        <f>Data!B228</f>
        <v/>
      </c>
      <c r="C228" s="17">
        <f>Data!D228</f>
        <v/>
      </c>
      <c r="D228" s="64">
        <f>IFERROR(Data!G228/Data!H228,0)</f>
        <v/>
      </c>
      <c r="E228" s="64">
        <f>IFERROR(Data!L228/Data!K228,0)</f>
        <v/>
      </c>
      <c r="F228" s="65">
        <f>Data!F228-Data!E228</f>
        <v/>
      </c>
      <c r="G228" s="21">
        <f>IFERROR(Data!G228/Data!F228,0)</f>
        <v/>
      </c>
      <c r="H228" s="22">
        <f>IF(ABS(G228-Data!I228)&lt;Summary!$B$4,"OK","CHECK")</f>
        <v/>
      </c>
      <c r="I228" s="1" t="n"/>
      <c r="J228" s="1" t="n"/>
    </row>
    <row r="229">
      <c r="A229" s="17">
        <f>Data!A229</f>
        <v/>
      </c>
      <c r="B229" s="63">
        <f>Data!B229</f>
        <v/>
      </c>
      <c r="C229" s="17">
        <f>Data!D229</f>
        <v/>
      </c>
      <c r="D229" s="64">
        <f>IFERROR(Data!G229/Data!H229,0)</f>
        <v/>
      </c>
      <c r="E229" s="64">
        <f>IFERROR(Data!L229/Data!K229,0)</f>
        <v/>
      </c>
      <c r="F229" s="65">
        <f>Data!F229-Data!E229</f>
        <v/>
      </c>
      <c r="G229" s="21">
        <f>IFERROR(Data!G229/Data!F229,0)</f>
        <v/>
      </c>
      <c r="H229" s="22">
        <f>IF(ABS(G229-Data!I229)&lt;Summary!$B$4,"OK","CHECK")</f>
        <v/>
      </c>
      <c r="I229" s="1" t="n"/>
      <c r="J229" s="1" t="n"/>
    </row>
    <row r="230">
      <c r="A230" s="17">
        <f>Data!A230</f>
        <v/>
      </c>
      <c r="B230" s="63">
        <f>Data!B230</f>
        <v/>
      </c>
      <c r="C230" s="17">
        <f>Data!D230</f>
        <v/>
      </c>
      <c r="D230" s="64">
        <f>IFERROR(Data!G230/Data!H230,0)</f>
        <v/>
      </c>
      <c r="E230" s="64">
        <f>IFERROR(Data!L230/Data!K230,0)</f>
        <v/>
      </c>
      <c r="F230" s="65">
        <f>Data!F230-Data!E230</f>
        <v/>
      </c>
      <c r="G230" s="21">
        <f>IFERROR(Data!G230/Data!F230,0)</f>
        <v/>
      </c>
      <c r="H230" s="22">
        <f>IF(ABS(G230-Data!I230)&lt;Summary!$B$4,"OK","CHECK")</f>
        <v/>
      </c>
      <c r="I230" s="1" t="n"/>
      <c r="J230" s="1" t="n"/>
    </row>
    <row r="231">
      <c r="A231" s="17">
        <f>Data!A231</f>
        <v/>
      </c>
      <c r="B231" s="63">
        <f>Data!B231</f>
        <v/>
      </c>
      <c r="C231" s="17">
        <f>Data!D231</f>
        <v/>
      </c>
      <c r="D231" s="64">
        <f>IFERROR(Data!G231/Data!H231,0)</f>
        <v/>
      </c>
      <c r="E231" s="64">
        <f>IFERROR(Data!L231/Data!K231,0)</f>
        <v/>
      </c>
      <c r="F231" s="65">
        <f>Data!F231-Data!E231</f>
        <v/>
      </c>
      <c r="G231" s="21">
        <f>IFERROR(Data!G231/Data!F231,0)</f>
        <v/>
      </c>
      <c r="H231" s="22">
        <f>IF(ABS(G231-Data!I231)&lt;Summary!$B$4,"OK","CHECK")</f>
        <v/>
      </c>
      <c r="I231" s="1" t="n"/>
      <c r="J231" s="1" t="n"/>
    </row>
    <row r="232">
      <c r="A232" s="17">
        <f>Data!A232</f>
        <v/>
      </c>
      <c r="B232" s="63">
        <f>Data!B232</f>
        <v/>
      </c>
      <c r="C232" s="17">
        <f>Data!D232</f>
        <v/>
      </c>
      <c r="D232" s="64">
        <f>IFERROR(Data!G232/Data!H232,0)</f>
        <v/>
      </c>
      <c r="E232" s="64">
        <f>IFERROR(Data!L232/Data!K232,0)</f>
        <v/>
      </c>
      <c r="F232" s="65">
        <f>Data!F232-Data!E232</f>
        <v/>
      </c>
      <c r="G232" s="21">
        <f>IFERROR(Data!G232/Data!F232,0)</f>
        <v/>
      </c>
      <c r="H232" s="22">
        <f>IF(ABS(G232-Data!I232)&lt;Summary!$B$4,"OK","CHECK")</f>
        <v/>
      </c>
      <c r="I232" s="1" t="n"/>
      <c r="J232" s="1" t="n"/>
    </row>
    <row r="233">
      <c r="A233" s="17">
        <f>Data!A233</f>
        <v/>
      </c>
      <c r="B233" s="63">
        <f>Data!B233</f>
        <v/>
      </c>
      <c r="C233" s="17">
        <f>Data!D233</f>
        <v/>
      </c>
      <c r="D233" s="64">
        <f>IFERROR(Data!G233/Data!H233,0)</f>
        <v/>
      </c>
      <c r="E233" s="64">
        <f>IFERROR(Data!L233/Data!K233,0)</f>
        <v/>
      </c>
      <c r="F233" s="65">
        <f>Data!F233-Data!E233</f>
        <v/>
      </c>
      <c r="G233" s="21">
        <f>IFERROR(Data!G233/Data!F233,0)</f>
        <v/>
      </c>
      <c r="H233" s="22">
        <f>IF(ABS(G233-Data!I233)&lt;Summary!$B$4,"OK","CHECK")</f>
        <v/>
      </c>
      <c r="I233" s="1" t="n"/>
      <c r="J233" s="1" t="n"/>
    </row>
    <row r="234">
      <c r="A234" s="17">
        <f>Data!A234</f>
        <v/>
      </c>
      <c r="B234" s="63">
        <f>Data!B234</f>
        <v/>
      </c>
      <c r="C234" s="17">
        <f>Data!D234</f>
        <v/>
      </c>
      <c r="D234" s="64">
        <f>IFERROR(Data!G234/Data!H234,0)</f>
        <v/>
      </c>
      <c r="E234" s="64">
        <f>IFERROR(Data!L234/Data!K234,0)</f>
        <v/>
      </c>
      <c r="F234" s="65">
        <f>Data!F234-Data!E234</f>
        <v/>
      </c>
      <c r="G234" s="21">
        <f>IFERROR(Data!G234/Data!F234,0)</f>
        <v/>
      </c>
      <c r="H234" s="22">
        <f>IF(ABS(G234-Data!I234)&lt;Summary!$B$4,"OK","CHECK")</f>
        <v/>
      </c>
      <c r="I234" s="1" t="n"/>
      <c r="J234" s="1" t="n"/>
    </row>
    <row r="235">
      <c r="A235" s="17">
        <f>Data!A235</f>
        <v/>
      </c>
      <c r="B235" s="63">
        <f>Data!B235</f>
        <v/>
      </c>
      <c r="C235" s="17">
        <f>Data!D235</f>
        <v/>
      </c>
      <c r="D235" s="64">
        <f>IFERROR(Data!G235/Data!H235,0)</f>
        <v/>
      </c>
      <c r="E235" s="64">
        <f>IFERROR(Data!L235/Data!K235,0)</f>
        <v/>
      </c>
      <c r="F235" s="65">
        <f>Data!F235-Data!E235</f>
        <v/>
      </c>
      <c r="G235" s="21">
        <f>IFERROR(Data!G235/Data!F235,0)</f>
        <v/>
      </c>
      <c r="H235" s="22">
        <f>IF(ABS(G235-Data!I235)&lt;Summary!$B$4,"OK","CHECK")</f>
        <v/>
      </c>
      <c r="I235" s="1" t="n"/>
      <c r="J235" s="1" t="n"/>
    </row>
    <row r="236">
      <c r="A236" s="17">
        <f>Data!A236</f>
        <v/>
      </c>
      <c r="B236" s="63">
        <f>Data!B236</f>
        <v/>
      </c>
      <c r="C236" s="17">
        <f>Data!D236</f>
        <v/>
      </c>
      <c r="D236" s="64">
        <f>IFERROR(Data!G236/Data!H236,0)</f>
        <v/>
      </c>
      <c r="E236" s="64">
        <f>IFERROR(Data!L236/Data!K236,0)</f>
        <v/>
      </c>
      <c r="F236" s="65">
        <f>Data!F236-Data!E236</f>
        <v/>
      </c>
      <c r="G236" s="21">
        <f>IFERROR(Data!G236/Data!F236,0)</f>
        <v/>
      </c>
      <c r="H236" s="22">
        <f>IF(ABS(G236-Data!I236)&lt;Summary!$B$4,"OK","CHECK")</f>
        <v/>
      </c>
      <c r="I236" s="1" t="n"/>
      <c r="J236" s="1" t="n"/>
    </row>
    <row r="237">
      <c r="A237" s="17">
        <f>Data!A237</f>
        <v/>
      </c>
      <c r="B237" s="63">
        <f>Data!B237</f>
        <v/>
      </c>
      <c r="C237" s="17">
        <f>Data!D237</f>
        <v/>
      </c>
      <c r="D237" s="64">
        <f>IFERROR(Data!G237/Data!H237,0)</f>
        <v/>
      </c>
      <c r="E237" s="64">
        <f>IFERROR(Data!L237/Data!K237,0)</f>
        <v/>
      </c>
      <c r="F237" s="65">
        <f>Data!F237-Data!E237</f>
        <v/>
      </c>
      <c r="G237" s="21">
        <f>IFERROR(Data!G237/Data!F237,0)</f>
        <v/>
      </c>
      <c r="H237" s="22">
        <f>IF(ABS(G237-Data!I237)&lt;Summary!$B$4,"OK","CHECK")</f>
        <v/>
      </c>
      <c r="I237" s="1" t="n"/>
      <c r="J237" s="1" t="n"/>
    </row>
    <row r="238">
      <c r="A238" s="17">
        <f>Data!A238</f>
        <v/>
      </c>
      <c r="B238" s="63">
        <f>Data!B238</f>
        <v/>
      </c>
      <c r="C238" s="17">
        <f>Data!D238</f>
        <v/>
      </c>
      <c r="D238" s="64">
        <f>IFERROR(Data!G238/Data!H238,0)</f>
        <v/>
      </c>
      <c r="E238" s="64">
        <f>IFERROR(Data!L238/Data!K238,0)</f>
        <v/>
      </c>
      <c r="F238" s="65">
        <f>Data!F238-Data!E238</f>
        <v/>
      </c>
      <c r="G238" s="21">
        <f>IFERROR(Data!G238/Data!F238,0)</f>
        <v/>
      </c>
      <c r="H238" s="22">
        <f>IF(ABS(G238-Data!I238)&lt;Summary!$B$4,"OK","CHECK")</f>
        <v/>
      </c>
      <c r="I238" s="1" t="n"/>
      <c r="J238" s="1" t="n"/>
    </row>
    <row r="239">
      <c r="A239" s="17">
        <f>Data!A239</f>
        <v/>
      </c>
      <c r="B239" s="63">
        <f>Data!B239</f>
        <v/>
      </c>
      <c r="C239" s="17">
        <f>Data!D239</f>
        <v/>
      </c>
      <c r="D239" s="64">
        <f>IFERROR(Data!G239/Data!H239,0)</f>
        <v/>
      </c>
      <c r="E239" s="64">
        <f>IFERROR(Data!L239/Data!K239,0)</f>
        <v/>
      </c>
      <c r="F239" s="65">
        <f>Data!F239-Data!E239</f>
        <v/>
      </c>
      <c r="G239" s="21">
        <f>IFERROR(Data!G239/Data!F239,0)</f>
        <v/>
      </c>
      <c r="H239" s="22">
        <f>IF(ABS(G239-Data!I239)&lt;Summary!$B$4,"OK","CHECK")</f>
        <v/>
      </c>
      <c r="I239" s="1" t="n"/>
      <c r="J239" s="1" t="n"/>
    </row>
    <row r="240">
      <c r="A240" s="17">
        <f>Data!A240</f>
        <v/>
      </c>
      <c r="B240" s="63">
        <f>Data!B240</f>
        <v/>
      </c>
      <c r="C240" s="17">
        <f>Data!D240</f>
        <v/>
      </c>
      <c r="D240" s="64">
        <f>IFERROR(Data!G240/Data!H240,0)</f>
        <v/>
      </c>
      <c r="E240" s="64">
        <f>IFERROR(Data!L240/Data!K240,0)</f>
        <v/>
      </c>
      <c r="F240" s="65">
        <f>Data!F240-Data!E240</f>
        <v/>
      </c>
      <c r="G240" s="21">
        <f>IFERROR(Data!G240/Data!F240,0)</f>
        <v/>
      </c>
      <c r="H240" s="22">
        <f>IF(ABS(G240-Data!I240)&lt;Summary!$B$4,"OK","CHECK")</f>
        <v/>
      </c>
      <c r="I240" s="1" t="n"/>
      <c r="J240" s="1" t="n"/>
    </row>
    <row r="241">
      <c r="A241" s="17">
        <f>Data!A241</f>
        <v/>
      </c>
      <c r="B241" s="63">
        <f>Data!B241</f>
        <v/>
      </c>
      <c r="C241" s="17">
        <f>Data!D241</f>
        <v/>
      </c>
      <c r="D241" s="64">
        <f>IFERROR(Data!G241/Data!H241,0)</f>
        <v/>
      </c>
      <c r="E241" s="64">
        <f>IFERROR(Data!L241/Data!K241,0)</f>
        <v/>
      </c>
      <c r="F241" s="65">
        <f>Data!F241-Data!E241</f>
        <v/>
      </c>
      <c r="G241" s="21">
        <f>IFERROR(Data!G241/Data!F241,0)</f>
        <v/>
      </c>
      <c r="H241" s="22">
        <f>IF(ABS(G241-Data!I241)&lt;Summary!$B$4,"OK","CHECK")</f>
        <v/>
      </c>
      <c r="I241" s="1" t="n"/>
      <c r="J241" s="1" t="n"/>
    </row>
    <row r="242">
      <c r="A242" s="17">
        <f>Data!A242</f>
        <v/>
      </c>
      <c r="B242" s="63">
        <f>Data!B242</f>
        <v/>
      </c>
      <c r="C242" s="17">
        <f>Data!D242</f>
        <v/>
      </c>
      <c r="D242" s="64">
        <f>IFERROR(Data!G242/Data!H242,0)</f>
        <v/>
      </c>
      <c r="E242" s="64">
        <f>IFERROR(Data!L242/Data!K242,0)</f>
        <v/>
      </c>
      <c r="F242" s="65">
        <f>Data!F242-Data!E242</f>
        <v/>
      </c>
      <c r="G242" s="21">
        <f>IFERROR(Data!G242/Data!F242,0)</f>
        <v/>
      </c>
      <c r="H242" s="22">
        <f>IF(ABS(G242-Data!I242)&lt;Summary!$B$4,"OK","CHECK")</f>
        <v/>
      </c>
      <c r="I242" s="1" t="n"/>
      <c r="J242" s="1" t="n"/>
    </row>
    <row r="243">
      <c r="A243" s="17">
        <f>Data!A243</f>
        <v/>
      </c>
      <c r="B243" s="63">
        <f>Data!B243</f>
        <v/>
      </c>
      <c r="C243" s="17">
        <f>Data!D243</f>
        <v/>
      </c>
      <c r="D243" s="64">
        <f>IFERROR(Data!G243/Data!H243,0)</f>
        <v/>
      </c>
      <c r="E243" s="64">
        <f>IFERROR(Data!L243/Data!K243,0)</f>
        <v/>
      </c>
      <c r="F243" s="65">
        <f>Data!F243-Data!E243</f>
        <v/>
      </c>
      <c r="G243" s="21">
        <f>IFERROR(Data!G243/Data!F243,0)</f>
        <v/>
      </c>
      <c r="H243" s="22">
        <f>IF(ABS(G243-Data!I243)&lt;Summary!$B$4,"OK","CHECK")</f>
        <v/>
      </c>
      <c r="I243" s="1" t="n"/>
      <c r="J243" s="1" t="n"/>
    </row>
    <row r="244">
      <c r="A244" s="17">
        <f>Data!A244</f>
        <v/>
      </c>
      <c r="B244" s="63">
        <f>Data!B244</f>
        <v/>
      </c>
      <c r="C244" s="17">
        <f>Data!D244</f>
        <v/>
      </c>
      <c r="D244" s="64">
        <f>IFERROR(Data!G244/Data!H244,0)</f>
        <v/>
      </c>
      <c r="E244" s="64">
        <f>IFERROR(Data!L244/Data!K244,0)</f>
        <v/>
      </c>
      <c r="F244" s="65">
        <f>Data!F244-Data!E244</f>
        <v/>
      </c>
      <c r="G244" s="21">
        <f>IFERROR(Data!G244/Data!F244,0)</f>
        <v/>
      </c>
      <c r="H244" s="22">
        <f>IF(ABS(G244-Data!I244)&lt;Summary!$B$4,"OK","CHECK")</f>
        <v/>
      </c>
      <c r="I244" s="1" t="n"/>
      <c r="J244" s="1" t="n"/>
    </row>
    <row r="245">
      <c r="A245" s="17">
        <f>Data!A245</f>
        <v/>
      </c>
      <c r="B245" s="63">
        <f>Data!B245</f>
        <v/>
      </c>
      <c r="C245" s="17">
        <f>Data!D245</f>
        <v/>
      </c>
      <c r="D245" s="64">
        <f>IFERROR(Data!G245/Data!H245,0)</f>
        <v/>
      </c>
      <c r="E245" s="64">
        <f>IFERROR(Data!L245/Data!K245,0)</f>
        <v/>
      </c>
      <c r="F245" s="65">
        <f>Data!F245-Data!E245</f>
        <v/>
      </c>
      <c r="G245" s="21">
        <f>IFERROR(Data!G245/Data!F245,0)</f>
        <v/>
      </c>
      <c r="H245" s="22">
        <f>IF(ABS(G245-Data!I245)&lt;Summary!$B$4,"OK","CHECK")</f>
        <v/>
      </c>
      <c r="I245" s="1" t="n"/>
      <c r="J245" s="1" t="n"/>
    </row>
    <row r="246">
      <c r="A246" s="17">
        <f>Data!A246</f>
        <v/>
      </c>
      <c r="B246" s="63">
        <f>Data!B246</f>
        <v/>
      </c>
      <c r="C246" s="17">
        <f>Data!D246</f>
        <v/>
      </c>
      <c r="D246" s="64">
        <f>IFERROR(Data!G246/Data!H246,0)</f>
        <v/>
      </c>
      <c r="E246" s="64">
        <f>IFERROR(Data!L246/Data!K246,0)</f>
        <v/>
      </c>
      <c r="F246" s="65">
        <f>Data!F246-Data!E246</f>
        <v/>
      </c>
      <c r="G246" s="21">
        <f>IFERROR(Data!G246/Data!F246,0)</f>
        <v/>
      </c>
      <c r="H246" s="22">
        <f>IF(ABS(G246-Data!I246)&lt;Summary!$B$4,"OK","CHECK")</f>
        <v/>
      </c>
      <c r="I246" s="1" t="n"/>
      <c r="J246" s="1" t="n"/>
    </row>
    <row r="247">
      <c r="A247" s="17">
        <f>Data!A247</f>
        <v/>
      </c>
      <c r="B247" s="63">
        <f>Data!B247</f>
        <v/>
      </c>
      <c r="C247" s="17">
        <f>Data!D247</f>
        <v/>
      </c>
      <c r="D247" s="64">
        <f>IFERROR(Data!G247/Data!H247,0)</f>
        <v/>
      </c>
      <c r="E247" s="64">
        <f>IFERROR(Data!L247/Data!K247,0)</f>
        <v/>
      </c>
      <c r="F247" s="65">
        <f>Data!F247-Data!E247</f>
        <v/>
      </c>
      <c r="G247" s="21">
        <f>IFERROR(Data!G247/Data!F247,0)</f>
        <v/>
      </c>
      <c r="H247" s="22">
        <f>IF(ABS(G247-Data!I247)&lt;Summary!$B$4,"OK","CHECK")</f>
        <v/>
      </c>
      <c r="I247" s="1" t="n"/>
      <c r="J247" s="1" t="n"/>
    </row>
    <row r="248">
      <c r="A248" s="17">
        <f>Data!A248</f>
        <v/>
      </c>
      <c r="B248" s="63">
        <f>Data!B248</f>
        <v/>
      </c>
      <c r="C248" s="17">
        <f>Data!D248</f>
        <v/>
      </c>
      <c r="D248" s="64">
        <f>IFERROR(Data!G248/Data!H248,0)</f>
        <v/>
      </c>
      <c r="E248" s="64">
        <f>IFERROR(Data!L248/Data!K248,0)</f>
        <v/>
      </c>
      <c r="F248" s="65">
        <f>Data!F248-Data!E248</f>
        <v/>
      </c>
      <c r="G248" s="21">
        <f>IFERROR(Data!G248/Data!F248,0)</f>
        <v/>
      </c>
      <c r="H248" s="22">
        <f>IF(ABS(G248-Data!I248)&lt;Summary!$B$4,"OK","CHECK")</f>
        <v/>
      </c>
      <c r="I248" s="1" t="n"/>
      <c r="J248" s="1" t="n"/>
    </row>
    <row r="249">
      <c r="A249" s="17">
        <f>Data!A249</f>
        <v/>
      </c>
      <c r="B249" s="63">
        <f>Data!B249</f>
        <v/>
      </c>
      <c r="C249" s="17">
        <f>Data!D249</f>
        <v/>
      </c>
      <c r="D249" s="64">
        <f>IFERROR(Data!G249/Data!H249,0)</f>
        <v/>
      </c>
      <c r="E249" s="64">
        <f>IFERROR(Data!L249/Data!K249,0)</f>
        <v/>
      </c>
      <c r="F249" s="65">
        <f>Data!F249-Data!E249</f>
        <v/>
      </c>
      <c r="G249" s="21">
        <f>IFERROR(Data!G249/Data!F249,0)</f>
        <v/>
      </c>
      <c r="H249" s="22">
        <f>IF(ABS(G249-Data!I249)&lt;Summary!$B$4,"OK","CHECK")</f>
        <v/>
      </c>
      <c r="I249" s="1" t="n"/>
      <c r="J249" s="1" t="n"/>
    </row>
    <row r="250">
      <c r="A250" s="17">
        <f>Data!A250</f>
        <v/>
      </c>
      <c r="B250" s="63">
        <f>Data!B250</f>
        <v/>
      </c>
      <c r="C250" s="17">
        <f>Data!D250</f>
        <v/>
      </c>
      <c r="D250" s="64">
        <f>IFERROR(Data!G250/Data!H250,0)</f>
        <v/>
      </c>
      <c r="E250" s="64">
        <f>IFERROR(Data!L250/Data!K250,0)</f>
        <v/>
      </c>
      <c r="F250" s="65">
        <f>Data!F250-Data!E250</f>
        <v/>
      </c>
      <c r="G250" s="21">
        <f>IFERROR(Data!G250/Data!F250,0)</f>
        <v/>
      </c>
      <c r="H250" s="22">
        <f>IF(ABS(G250-Data!I250)&lt;Summary!$B$4,"OK","CHECK")</f>
        <v/>
      </c>
      <c r="I250" s="1" t="n"/>
      <c r="J250" s="1" t="n"/>
    </row>
    <row r="251">
      <c r="A251" s="17">
        <f>Data!A251</f>
        <v/>
      </c>
      <c r="B251" s="63">
        <f>Data!B251</f>
        <v/>
      </c>
      <c r="C251" s="17">
        <f>Data!D251</f>
        <v/>
      </c>
      <c r="D251" s="64">
        <f>IFERROR(Data!G251/Data!H251,0)</f>
        <v/>
      </c>
      <c r="E251" s="64">
        <f>IFERROR(Data!L251/Data!K251,0)</f>
        <v/>
      </c>
      <c r="F251" s="65">
        <f>Data!F251-Data!E251</f>
        <v/>
      </c>
      <c r="G251" s="21">
        <f>IFERROR(Data!G251/Data!F251,0)</f>
        <v/>
      </c>
      <c r="H251" s="22">
        <f>IF(ABS(G251-Data!I251)&lt;Summary!$B$4,"OK","CHECK")</f>
        <v/>
      </c>
      <c r="I251" s="1" t="n"/>
      <c r="J251" s="1" t="n"/>
    </row>
    <row r="252">
      <c r="A252" s="17">
        <f>Data!A252</f>
        <v/>
      </c>
      <c r="B252" s="63">
        <f>Data!B252</f>
        <v/>
      </c>
      <c r="C252" s="17">
        <f>Data!D252</f>
        <v/>
      </c>
      <c r="D252" s="64">
        <f>IFERROR(Data!G252/Data!H252,0)</f>
        <v/>
      </c>
      <c r="E252" s="64">
        <f>IFERROR(Data!L252/Data!K252,0)</f>
        <v/>
      </c>
      <c r="F252" s="65">
        <f>Data!F252-Data!E252</f>
        <v/>
      </c>
      <c r="G252" s="21">
        <f>IFERROR(Data!G252/Data!F252,0)</f>
        <v/>
      </c>
      <c r="H252" s="22">
        <f>IF(ABS(G252-Data!I252)&lt;Summary!$B$4,"OK","CHECK")</f>
        <v/>
      </c>
      <c r="I252" s="1" t="n"/>
      <c r="J252" s="1" t="n"/>
    </row>
    <row r="253">
      <c r="A253" s="17">
        <f>Data!A253</f>
        <v/>
      </c>
      <c r="B253" s="63">
        <f>Data!B253</f>
        <v/>
      </c>
      <c r="C253" s="17">
        <f>Data!D253</f>
        <v/>
      </c>
      <c r="D253" s="64">
        <f>IFERROR(Data!G253/Data!H253,0)</f>
        <v/>
      </c>
      <c r="E253" s="64">
        <f>IFERROR(Data!L253/Data!K253,0)</f>
        <v/>
      </c>
      <c r="F253" s="65">
        <f>Data!F253-Data!E253</f>
        <v/>
      </c>
      <c r="G253" s="21">
        <f>IFERROR(Data!G253/Data!F253,0)</f>
        <v/>
      </c>
      <c r="H253" s="22">
        <f>IF(ABS(G253-Data!I253)&lt;Summary!$B$4,"OK","CHECK")</f>
        <v/>
      </c>
      <c r="I253" s="1" t="n"/>
      <c r="J253" s="1" t="n"/>
    </row>
    <row r="254">
      <c r="A254" s="17">
        <f>Data!A254</f>
        <v/>
      </c>
      <c r="B254" s="63">
        <f>Data!B254</f>
        <v/>
      </c>
      <c r="C254" s="17">
        <f>Data!D254</f>
        <v/>
      </c>
      <c r="D254" s="64">
        <f>IFERROR(Data!G254/Data!H254,0)</f>
        <v/>
      </c>
      <c r="E254" s="64">
        <f>IFERROR(Data!L254/Data!K254,0)</f>
        <v/>
      </c>
      <c r="F254" s="65">
        <f>Data!F254-Data!E254</f>
        <v/>
      </c>
      <c r="G254" s="21">
        <f>IFERROR(Data!G254/Data!F254,0)</f>
        <v/>
      </c>
      <c r="H254" s="22">
        <f>IF(ABS(G254-Data!I254)&lt;Summary!$B$4,"OK","CHECK")</f>
        <v/>
      </c>
      <c r="I254" s="1" t="n"/>
      <c r="J254" s="1" t="n"/>
    </row>
    <row r="255">
      <c r="A255" s="17">
        <f>Data!A255</f>
        <v/>
      </c>
      <c r="B255" s="63">
        <f>Data!B255</f>
        <v/>
      </c>
      <c r="C255" s="17">
        <f>Data!D255</f>
        <v/>
      </c>
      <c r="D255" s="64">
        <f>IFERROR(Data!G255/Data!H255,0)</f>
        <v/>
      </c>
      <c r="E255" s="64">
        <f>IFERROR(Data!L255/Data!K255,0)</f>
        <v/>
      </c>
      <c r="F255" s="65">
        <f>Data!F255-Data!E255</f>
        <v/>
      </c>
      <c r="G255" s="21">
        <f>IFERROR(Data!G255/Data!F255,0)</f>
        <v/>
      </c>
      <c r="H255" s="22">
        <f>IF(ABS(G255-Data!I255)&lt;Summary!$B$4,"OK","CHECK")</f>
        <v/>
      </c>
      <c r="I255" s="1" t="n"/>
      <c r="J255" s="1" t="n"/>
    </row>
    <row r="256">
      <c r="A256" s="17">
        <f>Data!A256</f>
        <v/>
      </c>
      <c r="B256" s="63">
        <f>Data!B256</f>
        <v/>
      </c>
      <c r="C256" s="17">
        <f>Data!D256</f>
        <v/>
      </c>
      <c r="D256" s="64">
        <f>IFERROR(Data!G256/Data!H256,0)</f>
        <v/>
      </c>
      <c r="E256" s="64">
        <f>IFERROR(Data!L256/Data!K256,0)</f>
        <v/>
      </c>
      <c r="F256" s="65">
        <f>Data!F256-Data!E256</f>
        <v/>
      </c>
      <c r="G256" s="21">
        <f>IFERROR(Data!G256/Data!F256,0)</f>
        <v/>
      </c>
      <c r="H256" s="22">
        <f>IF(ABS(G256-Data!I256)&lt;Summary!$B$4,"OK","CHECK")</f>
        <v/>
      </c>
      <c r="I256" s="1" t="n"/>
      <c r="J256" s="1" t="n"/>
    </row>
    <row r="257">
      <c r="A257" s="17">
        <f>Data!A257</f>
        <v/>
      </c>
      <c r="B257" s="63">
        <f>Data!B257</f>
        <v/>
      </c>
      <c r="C257" s="17">
        <f>Data!D257</f>
        <v/>
      </c>
      <c r="D257" s="64">
        <f>IFERROR(Data!G257/Data!H257,0)</f>
        <v/>
      </c>
      <c r="E257" s="64">
        <f>IFERROR(Data!L257/Data!K257,0)</f>
        <v/>
      </c>
      <c r="F257" s="65">
        <f>Data!F257-Data!E257</f>
        <v/>
      </c>
      <c r="G257" s="21">
        <f>IFERROR(Data!G257/Data!F257,0)</f>
        <v/>
      </c>
      <c r="H257" s="22">
        <f>IF(ABS(G257-Data!I257)&lt;Summary!$B$4,"OK","CHECK")</f>
        <v/>
      </c>
      <c r="I257" s="1" t="n"/>
      <c r="J257" s="1" t="n"/>
    </row>
    <row r="258">
      <c r="A258" s="17">
        <f>Data!A258</f>
        <v/>
      </c>
      <c r="B258" s="63">
        <f>Data!B258</f>
        <v/>
      </c>
      <c r="C258" s="17">
        <f>Data!D258</f>
        <v/>
      </c>
      <c r="D258" s="64">
        <f>IFERROR(Data!G258/Data!H258,0)</f>
        <v/>
      </c>
      <c r="E258" s="64">
        <f>IFERROR(Data!L258/Data!K258,0)</f>
        <v/>
      </c>
      <c r="F258" s="65">
        <f>Data!F258-Data!E258</f>
        <v/>
      </c>
      <c r="G258" s="21">
        <f>IFERROR(Data!G258/Data!F258,0)</f>
        <v/>
      </c>
      <c r="H258" s="22">
        <f>IF(ABS(G258-Data!I258)&lt;Summary!$B$4,"OK","CHECK")</f>
        <v/>
      </c>
      <c r="I258" s="1" t="n"/>
      <c r="J258" s="1" t="n"/>
    </row>
    <row r="259">
      <c r="A259" s="17">
        <f>Data!A259</f>
        <v/>
      </c>
      <c r="B259" s="63">
        <f>Data!B259</f>
        <v/>
      </c>
      <c r="C259" s="17">
        <f>Data!D259</f>
        <v/>
      </c>
      <c r="D259" s="64">
        <f>IFERROR(Data!G259/Data!H259,0)</f>
        <v/>
      </c>
      <c r="E259" s="64">
        <f>IFERROR(Data!L259/Data!K259,0)</f>
        <v/>
      </c>
      <c r="F259" s="65">
        <f>Data!F259-Data!E259</f>
        <v/>
      </c>
      <c r="G259" s="21">
        <f>IFERROR(Data!G259/Data!F259,0)</f>
        <v/>
      </c>
      <c r="H259" s="22">
        <f>IF(ABS(G259-Data!I259)&lt;Summary!$B$4,"OK","CHECK")</f>
        <v/>
      </c>
      <c r="I259" s="1" t="n"/>
      <c r="J259" s="1" t="n"/>
    </row>
    <row r="260">
      <c r="A260" s="17">
        <f>Data!A260</f>
        <v/>
      </c>
      <c r="B260" s="63">
        <f>Data!B260</f>
        <v/>
      </c>
      <c r="C260" s="17">
        <f>Data!D260</f>
        <v/>
      </c>
      <c r="D260" s="64">
        <f>IFERROR(Data!G260/Data!H260,0)</f>
        <v/>
      </c>
      <c r="E260" s="64">
        <f>IFERROR(Data!L260/Data!K260,0)</f>
        <v/>
      </c>
      <c r="F260" s="65">
        <f>Data!F260-Data!E260</f>
        <v/>
      </c>
      <c r="G260" s="21">
        <f>IFERROR(Data!G260/Data!F260,0)</f>
        <v/>
      </c>
      <c r="H260" s="22">
        <f>IF(ABS(G260-Data!I260)&lt;Summary!$B$4,"OK","CHECK")</f>
        <v/>
      </c>
      <c r="I260" s="1" t="n"/>
      <c r="J260" s="1" t="n"/>
    </row>
    <row r="261">
      <c r="A261" s="17">
        <f>Data!A261</f>
        <v/>
      </c>
      <c r="B261" s="63">
        <f>Data!B261</f>
        <v/>
      </c>
      <c r="C261" s="17">
        <f>Data!D261</f>
        <v/>
      </c>
      <c r="D261" s="64">
        <f>IFERROR(Data!G261/Data!H261,0)</f>
        <v/>
      </c>
      <c r="E261" s="64">
        <f>IFERROR(Data!L261/Data!K261,0)</f>
        <v/>
      </c>
      <c r="F261" s="65">
        <f>Data!F261-Data!E261</f>
        <v/>
      </c>
      <c r="G261" s="21">
        <f>IFERROR(Data!G261/Data!F261,0)</f>
        <v/>
      </c>
      <c r="H261" s="22">
        <f>IF(ABS(G261-Data!I261)&lt;Summary!$B$4,"OK","CHECK")</f>
        <v/>
      </c>
      <c r="I261" s="1" t="n"/>
      <c r="J261" s="1" t="n"/>
    </row>
    <row r="262">
      <c r="A262" s="17">
        <f>Data!A262</f>
        <v/>
      </c>
      <c r="B262" s="63">
        <f>Data!B262</f>
        <v/>
      </c>
      <c r="C262" s="17">
        <f>Data!D262</f>
        <v/>
      </c>
      <c r="D262" s="64">
        <f>IFERROR(Data!G262/Data!H262,0)</f>
        <v/>
      </c>
      <c r="E262" s="64">
        <f>IFERROR(Data!L262/Data!K262,0)</f>
        <v/>
      </c>
      <c r="F262" s="65">
        <f>Data!F262-Data!E262</f>
        <v/>
      </c>
      <c r="G262" s="21">
        <f>IFERROR(Data!G262/Data!F262,0)</f>
        <v/>
      </c>
      <c r="H262" s="22">
        <f>IF(ABS(G262-Data!I262)&lt;Summary!$B$4,"OK","CHECK")</f>
        <v/>
      </c>
      <c r="I262" s="1" t="n"/>
      <c r="J262" s="1" t="n"/>
    </row>
    <row r="263">
      <c r="A263" s="17">
        <f>Data!A263</f>
        <v/>
      </c>
      <c r="B263" s="63">
        <f>Data!B263</f>
        <v/>
      </c>
      <c r="C263" s="17">
        <f>Data!D263</f>
        <v/>
      </c>
      <c r="D263" s="64">
        <f>IFERROR(Data!G263/Data!H263,0)</f>
        <v/>
      </c>
      <c r="E263" s="64">
        <f>IFERROR(Data!L263/Data!K263,0)</f>
        <v/>
      </c>
      <c r="F263" s="65">
        <f>Data!F263-Data!E263</f>
        <v/>
      </c>
      <c r="G263" s="21">
        <f>IFERROR(Data!G263/Data!F263,0)</f>
        <v/>
      </c>
      <c r="H263" s="22">
        <f>IF(ABS(G263-Data!I263)&lt;Summary!$B$4,"OK","CHECK")</f>
        <v/>
      </c>
      <c r="I263" s="1" t="n"/>
      <c r="J263" s="1" t="n"/>
    </row>
    <row r="264">
      <c r="A264" s="17">
        <f>Data!A264</f>
        <v/>
      </c>
      <c r="B264" s="63">
        <f>Data!B264</f>
        <v/>
      </c>
      <c r="C264" s="17">
        <f>Data!D264</f>
        <v/>
      </c>
      <c r="D264" s="64">
        <f>IFERROR(Data!G264/Data!H264,0)</f>
        <v/>
      </c>
      <c r="E264" s="64">
        <f>IFERROR(Data!L264/Data!K264,0)</f>
        <v/>
      </c>
      <c r="F264" s="65">
        <f>Data!F264-Data!E264</f>
        <v/>
      </c>
      <c r="G264" s="21">
        <f>IFERROR(Data!G264/Data!F264,0)</f>
        <v/>
      </c>
      <c r="H264" s="22">
        <f>IF(ABS(G264-Data!I264)&lt;Summary!$B$4,"OK","CHECK")</f>
        <v/>
      </c>
      <c r="I264" s="1" t="n"/>
      <c r="J264" s="1" t="n"/>
    </row>
    <row r="265">
      <c r="A265" s="17">
        <f>Data!A265</f>
        <v/>
      </c>
      <c r="B265" s="63">
        <f>Data!B265</f>
        <v/>
      </c>
      <c r="C265" s="17">
        <f>Data!D265</f>
        <v/>
      </c>
      <c r="D265" s="64">
        <f>IFERROR(Data!G265/Data!H265,0)</f>
        <v/>
      </c>
      <c r="E265" s="64">
        <f>IFERROR(Data!L265/Data!K265,0)</f>
        <v/>
      </c>
      <c r="F265" s="65">
        <f>Data!F265-Data!E265</f>
        <v/>
      </c>
      <c r="G265" s="21">
        <f>IFERROR(Data!G265/Data!F265,0)</f>
        <v/>
      </c>
      <c r="H265" s="22">
        <f>IF(ABS(G265-Data!I265)&lt;Summary!$B$4,"OK","CHECK")</f>
        <v/>
      </c>
      <c r="I265" s="1" t="n"/>
      <c r="J265" s="1" t="n"/>
    </row>
    <row r="266">
      <c r="A266" s="17">
        <f>Data!A266</f>
        <v/>
      </c>
      <c r="B266" s="63">
        <f>Data!B266</f>
        <v/>
      </c>
      <c r="C266" s="17">
        <f>Data!D266</f>
        <v/>
      </c>
      <c r="D266" s="64">
        <f>IFERROR(Data!G266/Data!H266,0)</f>
        <v/>
      </c>
      <c r="E266" s="64">
        <f>IFERROR(Data!L266/Data!K266,0)</f>
        <v/>
      </c>
      <c r="F266" s="65">
        <f>Data!F266-Data!E266</f>
        <v/>
      </c>
      <c r="G266" s="21">
        <f>IFERROR(Data!G266/Data!F266,0)</f>
        <v/>
      </c>
      <c r="H266" s="22">
        <f>IF(ABS(G266-Data!I266)&lt;Summary!$B$4,"OK","CHECK")</f>
        <v/>
      </c>
      <c r="I266" s="1" t="n"/>
      <c r="J266" s="1" t="n"/>
    </row>
    <row r="267">
      <c r="A267" s="17">
        <f>Data!A267</f>
        <v/>
      </c>
      <c r="B267" s="63">
        <f>Data!B267</f>
        <v/>
      </c>
      <c r="C267" s="17">
        <f>Data!D267</f>
        <v/>
      </c>
      <c r="D267" s="64">
        <f>IFERROR(Data!G267/Data!H267,0)</f>
        <v/>
      </c>
      <c r="E267" s="64">
        <f>IFERROR(Data!L267/Data!K267,0)</f>
        <v/>
      </c>
      <c r="F267" s="65">
        <f>Data!F267-Data!E267</f>
        <v/>
      </c>
      <c r="G267" s="21">
        <f>IFERROR(Data!G267/Data!F267,0)</f>
        <v/>
      </c>
      <c r="H267" s="22">
        <f>IF(ABS(G267-Data!I267)&lt;Summary!$B$4,"OK","CHECK")</f>
        <v/>
      </c>
      <c r="I267" s="1" t="n"/>
      <c r="J267" s="1" t="n"/>
    </row>
    <row r="268">
      <c r="A268" s="17">
        <f>Data!A268</f>
        <v/>
      </c>
      <c r="B268" s="63">
        <f>Data!B268</f>
        <v/>
      </c>
      <c r="C268" s="17">
        <f>Data!D268</f>
        <v/>
      </c>
      <c r="D268" s="64">
        <f>IFERROR(Data!G268/Data!H268,0)</f>
        <v/>
      </c>
      <c r="E268" s="64">
        <f>IFERROR(Data!L268/Data!K268,0)</f>
        <v/>
      </c>
      <c r="F268" s="65">
        <f>Data!F268-Data!E268</f>
        <v/>
      </c>
      <c r="G268" s="21">
        <f>IFERROR(Data!G268/Data!F268,0)</f>
        <v/>
      </c>
      <c r="H268" s="22">
        <f>IF(ABS(G268-Data!I268)&lt;Summary!$B$4,"OK","CHECK")</f>
        <v/>
      </c>
      <c r="I268" s="1" t="n"/>
      <c r="J268" s="1" t="n"/>
    </row>
    <row r="269">
      <c r="A269" s="17">
        <f>Data!A269</f>
        <v/>
      </c>
      <c r="B269" s="63">
        <f>Data!B269</f>
        <v/>
      </c>
      <c r="C269" s="17">
        <f>Data!D269</f>
        <v/>
      </c>
      <c r="D269" s="64">
        <f>IFERROR(Data!G269/Data!H269,0)</f>
        <v/>
      </c>
      <c r="E269" s="64">
        <f>IFERROR(Data!L269/Data!K269,0)</f>
        <v/>
      </c>
      <c r="F269" s="65">
        <f>Data!F269-Data!E269</f>
        <v/>
      </c>
      <c r="G269" s="21">
        <f>IFERROR(Data!G269/Data!F269,0)</f>
        <v/>
      </c>
      <c r="H269" s="22">
        <f>IF(ABS(G269-Data!I269)&lt;Summary!$B$4,"OK","CHECK")</f>
        <v/>
      </c>
      <c r="I269" s="1" t="n"/>
      <c r="J269" s="1" t="n"/>
    </row>
    <row r="270">
      <c r="A270" s="17">
        <f>Data!A270</f>
        <v/>
      </c>
      <c r="B270" s="63">
        <f>Data!B270</f>
        <v/>
      </c>
      <c r="C270" s="17">
        <f>Data!D270</f>
        <v/>
      </c>
      <c r="D270" s="64">
        <f>IFERROR(Data!G270/Data!H270,0)</f>
        <v/>
      </c>
      <c r="E270" s="64">
        <f>IFERROR(Data!L270/Data!K270,0)</f>
        <v/>
      </c>
      <c r="F270" s="65">
        <f>Data!F270-Data!E270</f>
        <v/>
      </c>
      <c r="G270" s="21">
        <f>IFERROR(Data!G270/Data!F270,0)</f>
        <v/>
      </c>
      <c r="H270" s="22">
        <f>IF(ABS(G270-Data!I270)&lt;Summary!$B$4,"OK","CHECK")</f>
        <v/>
      </c>
      <c r="I270" s="1" t="n"/>
      <c r="J270" s="1" t="n"/>
    </row>
    <row r="271">
      <c r="A271" s="17">
        <f>Data!A271</f>
        <v/>
      </c>
      <c r="B271" s="63">
        <f>Data!B271</f>
        <v/>
      </c>
      <c r="C271" s="17">
        <f>Data!D271</f>
        <v/>
      </c>
      <c r="D271" s="64">
        <f>IFERROR(Data!G271/Data!H271,0)</f>
        <v/>
      </c>
      <c r="E271" s="64">
        <f>IFERROR(Data!L271/Data!K271,0)</f>
        <v/>
      </c>
      <c r="F271" s="65">
        <f>Data!F271-Data!E271</f>
        <v/>
      </c>
      <c r="G271" s="21">
        <f>IFERROR(Data!G271/Data!F271,0)</f>
        <v/>
      </c>
      <c r="H271" s="22">
        <f>IF(ABS(G271-Data!I271)&lt;Summary!$B$4,"OK","CHECK")</f>
        <v/>
      </c>
      <c r="I271" s="1" t="n"/>
      <c r="J271" s="1" t="n"/>
    </row>
    <row r="272">
      <c r="A272" s="17">
        <f>Data!A272</f>
        <v/>
      </c>
      <c r="B272" s="63">
        <f>Data!B272</f>
        <v/>
      </c>
      <c r="C272" s="17">
        <f>Data!D272</f>
        <v/>
      </c>
      <c r="D272" s="64">
        <f>IFERROR(Data!G272/Data!H272,0)</f>
        <v/>
      </c>
      <c r="E272" s="64">
        <f>IFERROR(Data!L272/Data!K272,0)</f>
        <v/>
      </c>
      <c r="F272" s="65">
        <f>Data!F272-Data!E272</f>
        <v/>
      </c>
      <c r="G272" s="21">
        <f>IFERROR(Data!G272/Data!F272,0)</f>
        <v/>
      </c>
      <c r="H272" s="22">
        <f>IF(ABS(G272-Data!I272)&lt;Summary!$B$4,"OK","CHECK")</f>
        <v/>
      </c>
      <c r="I272" s="1" t="n"/>
      <c r="J272" s="1" t="n"/>
    </row>
    <row r="273">
      <c r="A273" s="17">
        <f>Data!A273</f>
        <v/>
      </c>
      <c r="B273" s="63">
        <f>Data!B273</f>
        <v/>
      </c>
      <c r="C273" s="17">
        <f>Data!D273</f>
        <v/>
      </c>
      <c r="D273" s="64">
        <f>IFERROR(Data!G273/Data!H273,0)</f>
        <v/>
      </c>
      <c r="E273" s="64">
        <f>IFERROR(Data!L273/Data!K273,0)</f>
        <v/>
      </c>
      <c r="F273" s="65">
        <f>Data!F273-Data!E273</f>
        <v/>
      </c>
      <c r="G273" s="21">
        <f>IFERROR(Data!G273/Data!F273,0)</f>
        <v/>
      </c>
      <c r="H273" s="22">
        <f>IF(ABS(G273-Data!I273)&lt;Summary!$B$4,"OK","CHECK")</f>
        <v/>
      </c>
      <c r="I273" s="1" t="n"/>
      <c r="J273" s="1" t="n"/>
    </row>
    <row r="274">
      <c r="A274" s="17">
        <f>Data!A274</f>
        <v/>
      </c>
      <c r="B274" s="63">
        <f>Data!B274</f>
        <v/>
      </c>
      <c r="C274" s="17">
        <f>Data!D274</f>
        <v/>
      </c>
      <c r="D274" s="64">
        <f>IFERROR(Data!G274/Data!H274,0)</f>
        <v/>
      </c>
      <c r="E274" s="64">
        <f>IFERROR(Data!L274/Data!K274,0)</f>
        <v/>
      </c>
      <c r="F274" s="65">
        <f>Data!F274-Data!E274</f>
        <v/>
      </c>
      <c r="G274" s="21">
        <f>IFERROR(Data!G274/Data!F274,0)</f>
        <v/>
      </c>
      <c r="H274" s="22">
        <f>IF(ABS(G274-Data!I274)&lt;Summary!$B$4,"OK","CHECK")</f>
        <v/>
      </c>
      <c r="I274" s="1" t="n"/>
      <c r="J274" s="1" t="n"/>
    </row>
    <row r="275">
      <c r="A275" s="17">
        <f>Data!A275</f>
        <v/>
      </c>
      <c r="B275" s="63">
        <f>Data!B275</f>
        <v/>
      </c>
      <c r="C275" s="17">
        <f>Data!D275</f>
        <v/>
      </c>
      <c r="D275" s="64">
        <f>IFERROR(Data!G275/Data!H275,0)</f>
        <v/>
      </c>
      <c r="E275" s="64">
        <f>IFERROR(Data!L275/Data!K275,0)</f>
        <v/>
      </c>
      <c r="F275" s="65">
        <f>Data!F275-Data!E275</f>
        <v/>
      </c>
      <c r="G275" s="21">
        <f>IFERROR(Data!G275/Data!F275,0)</f>
        <v/>
      </c>
      <c r="H275" s="22">
        <f>IF(ABS(G275-Data!I275)&lt;Summary!$B$4,"OK","CHECK")</f>
        <v/>
      </c>
      <c r="I275" s="1" t="n"/>
      <c r="J275" s="1" t="n"/>
    </row>
    <row r="276">
      <c r="A276" s="17">
        <f>Data!A276</f>
        <v/>
      </c>
      <c r="B276" s="63">
        <f>Data!B276</f>
        <v/>
      </c>
      <c r="C276" s="17">
        <f>Data!D276</f>
        <v/>
      </c>
      <c r="D276" s="64">
        <f>IFERROR(Data!G276/Data!H276,0)</f>
        <v/>
      </c>
      <c r="E276" s="64">
        <f>IFERROR(Data!L276/Data!K276,0)</f>
        <v/>
      </c>
      <c r="F276" s="65">
        <f>Data!F276-Data!E276</f>
        <v/>
      </c>
      <c r="G276" s="21">
        <f>IFERROR(Data!G276/Data!F276,0)</f>
        <v/>
      </c>
      <c r="H276" s="22">
        <f>IF(ABS(G276-Data!I276)&lt;Summary!$B$4,"OK","CHECK")</f>
        <v/>
      </c>
      <c r="I276" s="1" t="n"/>
      <c r="J276" s="1" t="n"/>
    </row>
    <row r="277">
      <c r="A277" s="17">
        <f>Data!A277</f>
        <v/>
      </c>
      <c r="B277" s="63">
        <f>Data!B277</f>
        <v/>
      </c>
      <c r="C277" s="17">
        <f>Data!D277</f>
        <v/>
      </c>
      <c r="D277" s="64">
        <f>IFERROR(Data!G277/Data!H277,0)</f>
        <v/>
      </c>
      <c r="E277" s="64">
        <f>IFERROR(Data!L277/Data!K277,0)</f>
        <v/>
      </c>
      <c r="F277" s="65">
        <f>Data!F277-Data!E277</f>
        <v/>
      </c>
      <c r="G277" s="21">
        <f>IFERROR(Data!G277/Data!F277,0)</f>
        <v/>
      </c>
      <c r="H277" s="22">
        <f>IF(ABS(G277-Data!I277)&lt;Summary!$B$4,"OK","CHECK")</f>
        <v/>
      </c>
      <c r="I277" s="1" t="n"/>
      <c r="J277" s="1" t="n"/>
    </row>
    <row r="278">
      <c r="A278" s="17">
        <f>Data!A278</f>
        <v/>
      </c>
      <c r="B278" s="63">
        <f>Data!B278</f>
        <v/>
      </c>
      <c r="C278" s="17">
        <f>Data!D278</f>
        <v/>
      </c>
      <c r="D278" s="64">
        <f>IFERROR(Data!G278/Data!H278,0)</f>
        <v/>
      </c>
      <c r="E278" s="64">
        <f>IFERROR(Data!L278/Data!K278,0)</f>
        <v/>
      </c>
      <c r="F278" s="65">
        <f>Data!F278-Data!E278</f>
        <v/>
      </c>
      <c r="G278" s="21">
        <f>IFERROR(Data!G278/Data!F278,0)</f>
        <v/>
      </c>
      <c r="H278" s="22">
        <f>IF(ABS(G278-Data!I278)&lt;Summary!$B$4,"OK","CHECK")</f>
        <v/>
      </c>
      <c r="I278" s="1" t="n"/>
      <c r="J278" s="1" t="n"/>
    </row>
    <row r="279">
      <c r="A279" s="17">
        <f>Data!A279</f>
        <v/>
      </c>
      <c r="B279" s="63">
        <f>Data!B279</f>
        <v/>
      </c>
      <c r="C279" s="17">
        <f>Data!D279</f>
        <v/>
      </c>
      <c r="D279" s="64">
        <f>IFERROR(Data!G279/Data!H279,0)</f>
        <v/>
      </c>
      <c r="E279" s="64">
        <f>IFERROR(Data!L279/Data!K279,0)</f>
        <v/>
      </c>
      <c r="F279" s="65">
        <f>Data!F279-Data!E279</f>
        <v/>
      </c>
      <c r="G279" s="21">
        <f>IFERROR(Data!G279/Data!F279,0)</f>
        <v/>
      </c>
      <c r="H279" s="22">
        <f>IF(ABS(G279-Data!I279)&lt;Summary!$B$4,"OK","CHECK")</f>
        <v/>
      </c>
      <c r="I279" s="1" t="n"/>
      <c r="J279" s="1" t="n"/>
    </row>
    <row r="280">
      <c r="A280" s="17">
        <f>Data!A280</f>
        <v/>
      </c>
      <c r="B280" s="63">
        <f>Data!B280</f>
        <v/>
      </c>
      <c r="C280" s="17">
        <f>Data!D280</f>
        <v/>
      </c>
      <c r="D280" s="64">
        <f>IFERROR(Data!G280/Data!H280,0)</f>
        <v/>
      </c>
      <c r="E280" s="64">
        <f>IFERROR(Data!L280/Data!K280,0)</f>
        <v/>
      </c>
      <c r="F280" s="65">
        <f>Data!F280-Data!E280</f>
        <v/>
      </c>
      <c r="G280" s="21">
        <f>IFERROR(Data!G280/Data!F280,0)</f>
        <v/>
      </c>
      <c r="H280" s="22">
        <f>IF(ABS(G280-Data!I280)&lt;Summary!$B$4,"OK","CHECK")</f>
        <v/>
      </c>
      <c r="I280" s="1" t="n"/>
      <c r="J280" s="1" t="n"/>
    </row>
    <row r="281">
      <c r="A281" s="17">
        <f>Data!A281</f>
        <v/>
      </c>
      <c r="B281" s="63">
        <f>Data!B281</f>
        <v/>
      </c>
      <c r="C281" s="17">
        <f>Data!D281</f>
        <v/>
      </c>
      <c r="D281" s="64">
        <f>IFERROR(Data!G281/Data!H281,0)</f>
        <v/>
      </c>
      <c r="E281" s="64">
        <f>IFERROR(Data!L281/Data!K281,0)</f>
        <v/>
      </c>
      <c r="F281" s="65">
        <f>Data!F281-Data!E281</f>
        <v/>
      </c>
      <c r="G281" s="21">
        <f>IFERROR(Data!G281/Data!F281,0)</f>
        <v/>
      </c>
      <c r="H281" s="22">
        <f>IF(ABS(G281-Data!I281)&lt;Summary!$B$4,"OK","CHECK")</f>
        <v/>
      </c>
      <c r="I281" s="1" t="n"/>
      <c r="J281" s="1" t="n"/>
    </row>
    <row r="282">
      <c r="A282" s="17">
        <f>Data!A282</f>
        <v/>
      </c>
      <c r="B282" s="63">
        <f>Data!B282</f>
        <v/>
      </c>
      <c r="C282" s="17">
        <f>Data!D282</f>
        <v/>
      </c>
      <c r="D282" s="64">
        <f>IFERROR(Data!G282/Data!H282,0)</f>
        <v/>
      </c>
      <c r="E282" s="64">
        <f>IFERROR(Data!L282/Data!K282,0)</f>
        <v/>
      </c>
      <c r="F282" s="65">
        <f>Data!F282-Data!E282</f>
        <v/>
      </c>
      <c r="G282" s="21">
        <f>IFERROR(Data!G282/Data!F282,0)</f>
        <v/>
      </c>
      <c r="H282" s="22">
        <f>IF(ABS(G282-Data!I282)&lt;Summary!$B$4,"OK","CHECK")</f>
        <v/>
      </c>
      <c r="I282" s="1" t="n"/>
      <c r="J282" s="1" t="n"/>
    </row>
    <row r="283">
      <c r="A283" s="17">
        <f>Data!A283</f>
        <v/>
      </c>
      <c r="B283" s="63">
        <f>Data!B283</f>
        <v/>
      </c>
      <c r="C283" s="17">
        <f>Data!D283</f>
        <v/>
      </c>
      <c r="D283" s="64">
        <f>IFERROR(Data!G283/Data!H283,0)</f>
        <v/>
      </c>
      <c r="E283" s="64">
        <f>IFERROR(Data!L283/Data!K283,0)</f>
        <v/>
      </c>
      <c r="F283" s="65">
        <f>Data!F283-Data!E283</f>
        <v/>
      </c>
      <c r="G283" s="21">
        <f>IFERROR(Data!G283/Data!F283,0)</f>
        <v/>
      </c>
      <c r="H283" s="22">
        <f>IF(ABS(G283-Data!I283)&lt;Summary!$B$4,"OK","CHECK")</f>
        <v/>
      </c>
      <c r="I283" s="1" t="n"/>
      <c r="J283" s="1" t="n"/>
    </row>
    <row r="284">
      <c r="A284" s="17">
        <f>Data!A284</f>
        <v/>
      </c>
      <c r="B284" s="63">
        <f>Data!B284</f>
        <v/>
      </c>
      <c r="C284" s="17">
        <f>Data!D284</f>
        <v/>
      </c>
      <c r="D284" s="64">
        <f>IFERROR(Data!G284/Data!H284,0)</f>
        <v/>
      </c>
      <c r="E284" s="64">
        <f>IFERROR(Data!L284/Data!K284,0)</f>
        <v/>
      </c>
      <c r="F284" s="65">
        <f>Data!F284-Data!E284</f>
        <v/>
      </c>
      <c r="G284" s="21">
        <f>IFERROR(Data!G284/Data!F284,0)</f>
        <v/>
      </c>
      <c r="H284" s="22">
        <f>IF(ABS(G284-Data!I284)&lt;Summary!$B$4,"OK","CHECK")</f>
        <v/>
      </c>
      <c r="I284" s="1" t="n"/>
      <c r="J284" s="1" t="n"/>
    </row>
    <row r="285">
      <c r="A285" s="17">
        <f>Data!A285</f>
        <v/>
      </c>
      <c r="B285" s="63">
        <f>Data!B285</f>
        <v/>
      </c>
      <c r="C285" s="17">
        <f>Data!D285</f>
        <v/>
      </c>
      <c r="D285" s="64">
        <f>IFERROR(Data!G285/Data!H285,0)</f>
        <v/>
      </c>
      <c r="E285" s="64">
        <f>IFERROR(Data!L285/Data!K285,0)</f>
        <v/>
      </c>
      <c r="F285" s="65">
        <f>Data!F285-Data!E285</f>
        <v/>
      </c>
      <c r="G285" s="21">
        <f>IFERROR(Data!G285/Data!F285,0)</f>
        <v/>
      </c>
      <c r="H285" s="22">
        <f>IF(ABS(G285-Data!I285)&lt;Summary!$B$4,"OK","CHECK")</f>
        <v/>
      </c>
      <c r="I285" s="1" t="n"/>
      <c r="J285" s="1" t="n"/>
    </row>
    <row r="286">
      <c r="A286" s="17">
        <f>Data!A286</f>
        <v/>
      </c>
      <c r="B286" s="63">
        <f>Data!B286</f>
        <v/>
      </c>
      <c r="C286" s="17">
        <f>Data!D286</f>
        <v/>
      </c>
      <c r="D286" s="64">
        <f>IFERROR(Data!G286/Data!H286,0)</f>
        <v/>
      </c>
      <c r="E286" s="64">
        <f>IFERROR(Data!L286/Data!K286,0)</f>
        <v/>
      </c>
      <c r="F286" s="65">
        <f>Data!F286-Data!E286</f>
        <v/>
      </c>
      <c r="G286" s="21">
        <f>IFERROR(Data!G286/Data!F286,0)</f>
        <v/>
      </c>
      <c r="H286" s="22">
        <f>IF(ABS(G286-Data!I286)&lt;Summary!$B$4,"OK","CHECK")</f>
        <v/>
      </c>
      <c r="I286" s="1" t="n"/>
      <c r="J286" s="1" t="n"/>
    </row>
    <row r="287">
      <c r="A287" s="17">
        <f>Data!A287</f>
        <v/>
      </c>
      <c r="B287" s="63">
        <f>Data!B287</f>
        <v/>
      </c>
      <c r="C287" s="17">
        <f>Data!D287</f>
        <v/>
      </c>
      <c r="D287" s="64">
        <f>IFERROR(Data!G287/Data!H287,0)</f>
        <v/>
      </c>
      <c r="E287" s="64">
        <f>IFERROR(Data!L287/Data!K287,0)</f>
        <v/>
      </c>
      <c r="F287" s="65">
        <f>Data!F287-Data!E287</f>
        <v/>
      </c>
      <c r="G287" s="21">
        <f>IFERROR(Data!G287/Data!F287,0)</f>
        <v/>
      </c>
      <c r="H287" s="22">
        <f>IF(ABS(G287-Data!I287)&lt;Summary!$B$4,"OK","CHECK")</f>
        <v/>
      </c>
      <c r="I287" s="1" t="n"/>
      <c r="J287" s="1" t="n"/>
    </row>
    <row r="288">
      <c r="A288" s="17">
        <f>Data!A288</f>
        <v/>
      </c>
      <c r="B288" s="63">
        <f>Data!B288</f>
        <v/>
      </c>
      <c r="C288" s="17">
        <f>Data!D288</f>
        <v/>
      </c>
      <c r="D288" s="64">
        <f>IFERROR(Data!G288/Data!H288,0)</f>
        <v/>
      </c>
      <c r="E288" s="64">
        <f>IFERROR(Data!L288/Data!K288,0)</f>
        <v/>
      </c>
      <c r="F288" s="65">
        <f>Data!F288-Data!E288</f>
        <v/>
      </c>
      <c r="G288" s="21">
        <f>IFERROR(Data!G288/Data!F288,0)</f>
        <v/>
      </c>
      <c r="H288" s="22">
        <f>IF(ABS(G288-Data!I288)&lt;Summary!$B$4,"OK","CHECK")</f>
        <v/>
      </c>
      <c r="I288" s="1" t="n"/>
      <c r="J288" s="1" t="n"/>
    </row>
    <row r="289">
      <c r="A289" s="17">
        <f>Data!A289</f>
        <v/>
      </c>
      <c r="B289" s="63">
        <f>Data!B289</f>
        <v/>
      </c>
      <c r="C289" s="17">
        <f>Data!D289</f>
        <v/>
      </c>
      <c r="D289" s="64">
        <f>IFERROR(Data!G289/Data!H289,0)</f>
        <v/>
      </c>
      <c r="E289" s="64">
        <f>IFERROR(Data!L289/Data!K289,0)</f>
        <v/>
      </c>
      <c r="F289" s="65">
        <f>Data!F289-Data!E289</f>
        <v/>
      </c>
      <c r="G289" s="21">
        <f>IFERROR(Data!G289/Data!F289,0)</f>
        <v/>
      </c>
      <c r="H289" s="22">
        <f>IF(ABS(G289-Data!I289)&lt;Summary!$B$4,"OK","CHECK")</f>
        <v/>
      </c>
      <c r="I289" s="1" t="n"/>
      <c r="J289" s="1" t="n"/>
    </row>
    <row r="290">
      <c r="A290" s="17">
        <f>Data!A290</f>
        <v/>
      </c>
      <c r="B290" s="63">
        <f>Data!B290</f>
        <v/>
      </c>
      <c r="C290" s="17">
        <f>Data!D290</f>
        <v/>
      </c>
      <c r="D290" s="64">
        <f>IFERROR(Data!G290/Data!H290,0)</f>
        <v/>
      </c>
      <c r="E290" s="64">
        <f>IFERROR(Data!L290/Data!K290,0)</f>
        <v/>
      </c>
      <c r="F290" s="65">
        <f>Data!F290-Data!E290</f>
        <v/>
      </c>
      <c r="G290" s="21">
        <f>IFERROR(Data!G290/Data!F290,0)</f>
        <v/>
      </c>
      <c r="H290" s="22">
        <f>IF(ABS(G290-Data!I290)&lt;Summary!$B$4,"OK","CHECK")</f>
        <v/>
      </c>
      <c r="I290" s="1" t="n"/>
      <c r="J290" s="1" t="n"/>
    </row>
    <row r="291">
      <c r="A291" s="17">
        <f>Data!A291</f>
        <v/>
      </c>
      <c r="B291" s="63">
        <f>Data!B291</f>
        <v/>
      </c>
      <c r="C291" s="17">
        <f>Data!D291</f>
        <v/>
      </c>
      <c r="D291" s="64">
        <f>IFERROR(Data!G291/Data!H291,0)</f>
        <v/>
      </c>
      <c r="E291" s="64">
        <f>IFERROR(Data!L291/Data!K291,0)</f>
        <v/>
      </c>
      <c r="F291" s="65">
        <f>Data!F291-Data!E291</f>
        <v/>
      </c>
      <c r="G291" s="21">
        <f>IFERROR(Data!G291/Data!F291,0)</f>
        <v/>
      </c>
      <c r="H291" s="22">
        <f>IF(ABS(G291-Data!I291)&lt;Summary!$B$4,"OK","CHECK")</f>
        <v/>
      </c>
      <c r="I291" s="1" t="n"/>
      <c r="J291" s="1" t="n"/>
    </row>
    <row r="292">
      <c r="A292" s="17">
        <f>Data!A292</f>
        <v/>
      </c>
      <c r="B292" s="63">
        <f>Data!B292</f>
        <v/>
      </c>
      <c r="C292" s="17">
        <f>Data!D292</f>
        <v/>
      </c>
      <c r="D292" s="64">
        <f>IFERROR(Data!G292/Data!H292,0)</f>
        <v/>
      </c>
      <c r="E292" s="64">
        <f>IFERROR(Data!L292/Data!K292,0)</f>
        <v/>
      </c>
      <c r="F292" s="65">
        <f>Data!F292-Data!E292</f>
        <v/>
      </c>
      <c r="G292" s="21">
        <f>IFERROR(Data!G292/Data!F292,0)</f>
        <v/>
      </c>
      <c r="H292" s="22">
        <f>IF(ABS(G292-Data!I292)&lt;Summary!$B$4,"OK","CHECK")</f>
        <v/>
      </c>
      <c r="I292" s="1" t="n"/>
      <c r="J292" s="1" t="n"/>
    </row>
    <row r="293">
      <c r="A293" s="17">
        <f>Data!A293</f>
        <v/>
      </c>
      <c r="B293" s="63">
        <f>Data!B293</f>
        <v/>
      </c>
      <c r="C293" s="17">
        <f>Data!D293</f>
        <v/>
      </c>
      <c r="D293" s="64">
        <f>IFERROR(Data!G293/Data!H293,0)</f>
        <v/>
      </c>
      <c r="E293" s="64">
        <f>IFERROR(Data!L293/Data!K293,0)</f>
        <v/>
      </c>
      <c r="F293" s="65">
        <f>Data!F293-Data!E293</f>
        <v/>
      </c>
      <c r="G293" s="21">
        <f>IFERROR(Data!G293/Data!F293,0)</f>
        <v/>
      </c>
      <c r="H293" s="22">
        <f>IF(ABS(G293-Data!I293)&lt;Summary!$B$4,"OK","CHECK")</f>
        <v/>
      </c>
      <c r="I293" s="1" t="n"/>
      <c r="J293" s="1" t="n"/>
    </row>
    <row r="294">
      <c r="A294" s="17">
        <f>Data!A294</f>
        <v/>
      </c>
      <c r="B294" s="63">
        <f>Data!B294</f>
        <v/>
      </c>
      <c r="C294" s="17">
        <f>Data!D294</f>
        <v/>
      </c>
      <c r="D294" s="64">
        <f>IFERROR(Data!G294/Data!H294,0)</f>
        <v/>
      </c>
      <c r="E294" s="64">
        <f>IFERROR(Data!L294/Data!K294,0)</f>
        <v/>
      </c>
      <c r="F294" s="65">
        <f>Data!F294-Data!E294</f>
        <v/>
      </c>
      <c r="G294" s="21">
        <f>IFERROR(Data!G294/Data!F294,0)</f>
        <v/>
      </c>
      <c r="H294" s="22">
        <f>IF(ABS(G294-Data!I294)&lt;Summary!$B$4,"OK","CHECK")</f>
        <v/>
      </c>
      <c r="I294" s="1" t="n"/>
      <c r="J294" s="1" t="n"/>
    </row>
    <row r="295">
      <c r="A295" s="17">
        <f>Data!A295</f>
        <v/>
      </c>
      <c r="B295" s="63">
        <f>Data!B295</f>
        <v/>
      </c>
      <c r="C295" s="17">
        <f>Data!D295</f>
        <v/>
      </c>
      <c r="D295" s="64">
        <f>IFERROR(Data!G295/Data!H295,0)</f>
        <v/>
      </c>
      <c r="E295" s="64">
        <f>IFERROR(Data!L295/Data!K295,0)</f>
        <v/>
      </c>
      <c r="F295" s="65">
        <f>Data!F295-Data!E295</f>
        <v/>
      </c>
      <c r="G295" s="21">
        <f>IFERROR(Data!G295/Data!F295,0)</f>
        <v/>
      </c>
      <c r="H295" s="22">
        <f>IF(ABS(G295-Data!I295)&lt;Summary!$B$4,"OK","CHECK")</f>
        <v/>
      </c>
      <c r="I295" s="1" t="n"/>
      <c r="J295" s="1" t="n"/>
    </row>
    <row r="296">
      <c r="A296" s="17">
        <f>Data!A296</f>
        <v/>
      </c>
      <c r="B296" s="63">
        <f>Data!B296</f>
        <v/>
      </c>
      <c r="C296" s="17">
        <f>Data!D296</f>
        <v/>
      </c>
      <c r="D296" s="64">
        <f>IFERROR(Data!G296/Data!H296,0)</f>
        <v/>
      </c>
      <c r="E296" s="64">
        <f>IFERROR(Data!L296/Data!K296,0)</f>
        <v/>
      </c>
      <c r="F296" s="65">
        <f>Data!F296-Data!E296</f>
        <v/>
      </c>
      <c r="G296" s="21">
        <f>IFERROR(Data!G296/Data!F296,0)</f>
        <v/>
      </c>
      <c r="H296" s="22">
        <f>IF(ABS(G296-Data!I296)&lt;Summary!$B$4,"OK","CHECK")</f>
        <v/>
      </c>
      <c r="I296" s="1" t="n"/>
      <c r="J296" s="1" t="n"/>
    </row>
    <row r="297">
      <c r="A297" s="17">
        <f>Data!A297</f>
        <v/>
      </c>
      <c r="B297" s="63">
        <f>Data!B297</f>
        <v/>
      </c>
      <c r="C297" s="17">
        <f>Data!D297</f>
        <v/>
      </c>
      <c r="D297" s="64">
        <f>IFERROR(Data!G297/Data!H297,0)</f>
        <v/>
      </c>
      <c r="E297" s="64">
        <f>IFERROR(Data!L297/Data!K297,0)</f>
        <v/>
      </c>
      <c r="F297" s="65">
        <f>Data!F297-Data!E297</f>
        <v/>
      </c>
      <c r="G297" s="21">
        <f>IFERROR(Data!G297/Data!F297,0)</f>
        <v/>
      </c>
      <c r="H297" s="22">
        <f>IF(ABS(G297-Data!I297)&lt;Summary!$B$4,"OK","CHECK")</f>
        <v/>
      </c>
      <c r="I297" s="1" t="n"/>
      <c r="J297" s="1" t="n"/>
    </row>
    <row r="298">
      <c r="A298" s="17">
        <f>Data!A298</f>
        <v/>
      </c>
      <c r="B298" s="63">
        <f>Data!B298</f>
        <v/>
      </c>
      <c r="C298" s="17">
        <f>Data!D298</f>
        <v/>
      </c>
      <c r="D298" s="64">
        <f>IFERROR(Data!G298/Data!H298,0)</f>
        <v/>
      </c>
      <c r="E298" s="64">
        <f>IFERROR(Data!L298/Data!K298,0)</f>
        <v/>
      </c>
      <c r="F298" s="65">
        <f>Data!F298-Data!E298</f>
        <v/>
      </c>
      <c r="G298" s="21">
        <f>IFERROR(Data!G298/Data!F298,0)</f>
        <v/>
      </c>
      <c r="H298" s="22">
        <f>IF(ABS(G298-Data!I298)&lt;Summary!$B$4,"OK","CHECK")</f>
        <v/>
      </c>
      <c r="I298" s="1" t="n"/>
      <c r="J298" s="1" t="n"/>
    </row>
    <row r="299">
      <c r="A299" s="17">
        <f>Data!A299</f>
        <v/>
      </c>
      <c r="B299" s="63">
        <f>Data!B299</f>
        <v/>
      </c>
      <c r="C299" s="17">
        <f>Data!D299</f>
        <v/>
      </c>
      <c r="D299" s="64">
        <f>IFERROR(Data!G299/Data!H299,0)</f>
        <v/>
      </c>
      <c r="E299" s="64">
        <f>IFERROR(Data!L299/Data!K299,0)</f>
        <v/>
      </c>
      <c r="F299" s="65">
        <f>Data!F299-Data!E299</f>
        <v/>
      </c>
      <c r="G299" s="21">
        <f>IFERROR(Data!G299/Data!F299,0)</f>
        <v/>
      </c>
      <c r="H299" s="22">
        <f>IF(ABS(G299-Data!I299)&lt;Summary!$B$4,"OK","CHECK")</f>
        <v/>
      </c>
      <c r="I299" s="1" t="n"/>
      <c r="J299" s="1" t="n"/>
    </row>
    <row r="300">
      <c r="A300" s="17">
        <f>Data!A300</f>
        <v/>
      </c>
      <c r="B300" s="63">
        <f>Data!B300</f>
        <v/>
      </c>
      <c r="C300" s="17">
        <f>Data!D300</f>
        <v/>
      </c>
      <c r="D300" s="64">
        <f>IFERROR(Data!G300/Data!H300,0)</f>
        <v/>
      </c>
      <c r="E300" s="64">
        <f>IFERROR(Data!L300/Data!K300,0)</f>
        <v/>
      </c>
      <c r="F300" s="65">
        <f>Data!F300-Data!E300</f>
        <v/>
      </c>
      <c r="G300" s="21">
        <f>IFERROR(Data!G300/Data!F300,0)</f>
        <v/>
      </c>
      <c r="H300" s="22">
        <f>IF(ABS(G300-Data!I300)&lt;Summary!$B$4,"OK","CHECK")</f>
        <v/>
      </c>
      <c r="I300" s="1" t="n"/>
      <c r="J300" s="1" t="n"/>
    </row>
    <row r="301">
      <c r="A301" s="17">
        <f>Data!A301</f>
        <v/>
      </c>
      <c r="B301" s="63">
        <f>Data!B301</f>
        <v/>
      </c>
      <c r="C301" s="17">
        <f>Data!D301</f>
        <v/>
      </c>
      <c r="D301" s="64">
        <f>IFERROR(Data!G301/Data!H301,0)</f>
        <v/>
      </c>
      <c r="E301" s="64">
        <f>IFERROR(Data!L301/Data!K301,0)</f>
        <v/>
      </c>
      <c r="F301" s="65">
        <f>Data!F301-Data!E301</f>
        <v/>
      </c>
      <c r="G301" s="21">
        <f>IFERROR(Data!G301/Data!F301,0)</f>
        <v/>
      </c>
      <c r="H301" s="22">
        <f>IF(ABS(G301-Data!I301)&lt;Summary!$B$4,"OK","CHECK")</f>
        <v/>
      </c>
      <c r="I301" s="1" t="n"/>
      <c r="J301" s="1" t="n"/>
    </row>
    <row r="302">
      <c r="A302" s="17">
        <f>Data!A302</f>
        <v/>
      </c>
      <c r="B302" s="63">
        <f>Data!B302</f>
        <v/>
      </c>
      <c r="C302" s="17">
        <f>Data!D302</f>
        <v/>
      </c>
      <c r="D302" s="64">
        <f>IFERROR(Data!G302/Data!H302,0)</f>
        <v/>
      </c>
      <c r="E302" s="64">
        <f>IFERROR(Data!L302/Data!K302,0)</f>
        <v/>
      </c>
      <c r="F302" s="65">
        <f>Data!F302-Data!E302</f>
        <v/>
      </c>
      <c r="G302" s="21">
        <f>IFERROR(Data!G302/Data!F302,0)</f>
        <v/>
      </c>
      <c r="H302" s="22">
        <f>IF(ABS(G302-Data!I302)&lt;Summary!$B$4,"OK","CHECK")</f>
        <v/>
      </c>
      <c r="I302" s="1" t="n"/>
      <c r="J302" s="1" t="n"/>
    </row>
    <row r="303">
      <c r="A303" s="17">
        <f>Data!A303</f>
        <v/>
      </c>
      <c r="B303" s="63">
        <f>Data!B303</f>
        <v/>
      </c>
      <c r="C303" s="17">
        <f>Data!D303</f>
        <v/>
      </c>
      <c r="D303" s="64">
        <f>IFERROR(Data!G303/Data!H303,0)</f>
        <v/>
      </c>
      <c r="E303" s="64">
        <f>IFERROR(Data!L303/Data!K303,0)</f>
        <v/>
      </c>
      <c r="F303" s="65">
        <f>Data!F303-Data!E303</f>
        <v/>
      </c>
      <c r="G303" s="21">
        <f>IFERROR(Data!G303/Data!F303,0)</f>
        <v/>
      </c>
      <c r="H303" s="22">
        <f>IF(ABS(G303-Data!I303)&lt;Summary!$B$4,"OK","CHECK")</f>
        <v/>
      </c>
      <c r="I303" s="1" t="n"/>
      <c r="J303" s="1" t="n"/>
    </row>
    <row r="304">
      <c r="A304" s="17">
        <f>Data!A304</f>
        <v/>
      </c>
      <c r="B304" s="63">
        <f>Data!B304</f>
        <v/>
      </c>
      <c r="C304" s="17">
        <f>Data!D304</f>
        <v/>
      </c>
      <c r="D304" s="64">
        <f>IFERROR(Data!G304/Data!H304,0)</f>
        <v/>
      </c>
      <c r="E304" s="64">
        <f>IFERROR(Data!L304/Data!K304,0)</f>
        <v/>
      </c>
      <c r="F304" s="65">
        <f>Data!F304-Data!E304</f>
        <v/>
      </c>
      <c r="G304" s="21">
        <f>IFERROR(Data!G304/Data!F304,0)</f>
        <v/>
      </c>
      <c r="H304" s="22">
        <f>IF(ABS(G304-Data!I304)&lt;Summary!$B$4,"OK","CHECK")</f>
        <v/>
      </c>
      <c r="I304" s="1" t="n"/>
      <c r="J304" s="1" t="n"/>
    </row>
    <row r="305">
      <c r="A305" s="17">
        <f>Data!A305</f>
        <v/>
      </c>
      <c r="B305" s="63">
        <f>Data!B305</f>
        <v/>
      </c>
      <c r="C305" s="17">
        <f>Data!D305</f>
        <v/>
      </c>
      <c r="D305" s="64">
        <f>IFERROR(Data!G305/Data!H305,0)</f>
        <v/>
      </c>
      <c r="E305" s="64">
        <f>IFERROR(Data!L305/Data!K305,0)</f>
        <v/>
      </c>
      <c r="F305" s="65">
        <f>Data!F305-Data!E305</f>
        <v/>
      </c>
      <c r="G305" s="21">
        <f>IFERROR(Data!G305/Data!F305,0)</f>
        <v/>
      </c>
      <c r="H305" s="22">
        <f>IF(ABS(G305-Data!I305)&lt;Summary!$B$4,"OK","CHECK")</f>
        <v/>
      </c>
      <c r="I305" s="1" t="n"/>
      <c r="J305" s="1" t="n"/>
    </row>
    <row r="306">
      <c r="A306" s="17">
        <f>Data!A306</f>
        <v/>
      </c>
      <c r="B306" s="63">
        <f>Data!B306</f>
        <v/>
      </c>
      <c r="C306" s="17">
        <f>Data!D306</f>
        <v/>
      </c>
      <c r="D306" s="64">
        <f>IFERROR(Data!G306/Data!H306,0)</f>
        <v/>
      </c>
      <c r="E306" s="64">
        <f>IFERROR(Data!L306/Data!K306,0)</f>
        <v/>
      </c>
      <c r="F306" s="65">
        <f>Data!F306-Data!E306</f>
        <v/>
      </c>
      <c r="G306" s="21">
        <f>IFERROR(Data!G306/Data!F306,0)</f>
        <v/>
      </c>
      <c r="H306" s="22">
        <f>IF(ABS(G306-Data!I306)&lt;Summary!$B$4,"OK","CHECK")</f>
        <v/>
      </c>
      <c r="I306" s="1" t="n"/>
      <c r="J306" s="1" t="n"/>
    </row>
    <row r="307">
      <c r="A307" s="17">
        <f>Data!A307</f>
        <v/>
      </c>
      <c r="B307" s="63">
        <f>Data!B307</f>
        <v/>
      </c>
      <c r="C307" s="17">
        <f>Data!D307</f>
        <v/>
      </c>
      <c r="D307" s="64">
        <f>IFERROR(Data!G307/Data!H307,0)</f>
        <v/>
      </c>
      <c r="E307" s="64">
        <f>IFERROR(Data!L307/Data!K307,0)</f>
        <v/>
      </c>
      <c r="F307" s="65">
        <f>Data!F307-Data!E307</f>
        <v/>
      </c>
      <c r="G307" s="21">
        <f>IFERROR(Data!G307/Data!F307,0)</f>
        <v/>
      </c>
      <c r="H307" s="22">
        <f>IF(ABS(G307-Data!I307)&lt;Summary!$B$4,"OK","CHECK")</f>
        <v/>
      </c>
      <c r="I307" s="1" t="n"/>
      <c r="J307" s="1" t="n"/>
    </row>
    <row r="308">
      <c r="A308" s="17">
        <f>Data!A308</f>
        <v/>
      </c>
      <c r="B308" s="63">
        <f>Data!B308</f>
        <v/>
      </c>
      <c r="C308" s="17">
        <f>Data!D308</f>
        <v/>
      </c>
      <c r="D308" s="64">
        <f>IFERROR(Data!G308/Data!H308,0)</f>
        <v/>
      </c>
      <c r="E308" s="64">
        <f>IFERROR(Data!L308/Data!K308,0)</f>
        <v/>
      </c>
      <c r="F308" s="65">
        <f>Data!F308-Data!E308</f>
        <v/>
      </c>
      <c r="G308" s="21">
        <f>IFERROR(Data!G308/Data!F308,0)</f>
        <v/>
      </c>
      <c r="H308" s="22">
        <f>IF(ABS(G308-Data!I308)&lt;Summary!$B$4,"OK","CHECK")</f>
        <v/>
      </c>
      <c r="I308" s="1" t="n"/>
      <c r="J308" s="1" t="n"/>
    </row>
    <row r="309">
      <c r="A309" s="17">
        <f>Data!A309</f>
        <v/>
      </c>
      <c r="B309" s="63">
        <f>Data!B309</f>
        <v/>
      </c>
      <c r="C309" s="17">
        <f>Data!D309</f>
        <v/>
      </c>
      <c r="D309" s="64">
        <f>IFERROR(Data!G309/Data!H309,0)</f>
        <v/>
      </c>
      <c r="E309" s="64">
        <f>IFERROR(Data!L309/Data!K309,0)</f>
        <v/>
      </c>
      <c r="F309" s="65">
        <f>Data!F309-Data!E309</f>
        <v/>
      </c>
      <c r="G309" s="21">
        <f>IFERROR(Data!G309/Data!F309,0)</f>
        <v/>
      </c>
      <c r="H309" s="22">
        <f>IF(ABS(G309-Data!I309)&lt;Summary!$B$4,"OK","CHECK")</f>
        <v/>
      </c>
      <c r="I309" s="1" t="n"/>
      <c r="J309" s="1" t="n"/>
    </row>
    <row r="310">
      <c r="A310" s="17">
        <f>Data!A310</f>
        <v/>
      </c>
      <c r="B310" s="63">
        <f>Data!B310</f>
        <v/>
      </c>
      <c r="C310" s="17">
        <f>Data!D310</f>
        <v/>
      </c>
      <c r="D310" s="64">
        <f>IFERROR(Data!G310/Data!H310,0)</f>
        <v/>
      </c>
      <c r="E310" s="64">
        <f>IFERROR(Data!L310/Data!K310,0)</f>
        <v/>
      </c>
      <c r="F310" s="65">
        <f>Data!F310-Data!E310</f>
        <v/>
      </c>
      <c r="G310" s="21">
        <f>IFERROR(Data!G310/Data!F310,0)</f>
        <v/>
      </c>
      <c r="H310" s="22">
        <f>IF(ABS(G310-Data!I310)&lt;Summary!$B$4,"OK","CHECK")</f>
        <v/>
      </c>
      <c r="I310" s="1" t="n"/>
      <c r="J310" s="1" t="n"/>
    </row>
    <row r="311">
      <c r="A311" s="17">
        <f>Data!A311</f>
        <v/>
      </c>
      <c r="B311" s="63">
        <f>Data!B311</f>
        <v/>
      </c>
      <c r="C311" s="17">
        <f>Data!D311</f>
        <v/>
      </c>
      <c r="D311" s="64">
        <f>IFERROR(Data!G311/Data!H311,0)</f>
        <v/>
      </c>
      <c r="E311" s="64">
        <f>IFERROR(Data!L311/Data!K311,0)</f>
        <v/>
      </c>
      <c r="F311" s="65">
        <f>Data!F311-Data!E311</f>
        <v/>
      </c>
      <c r="G311" s="21">
        <f>IFERROR(Data!G311/Data!F311,0)</f>
        <v/>
      </c>
      <c r="H311" s="22">
        <f>IF(ABS(G311-Data!I311)&lt;Summary!$B$4,"OK","CHECK")</f>
        <v/>
      </c>
      <c r="I311" s="1" t="n"/>
      <c r="J311" s="1" t="n"/>
    </row>
    <row r="312">
      <c r="A312" s="17">
        <f>Data!A312</f>
        <v/>
      </c>
      <c r="B312" s="63">
        <f>Data!B312</f>
        <v/>
      </c>
      <c r="C312" s="17">
        <f>Data!D312</f>
        <v/>
      </c>
      <c r="D312" s="64">
        <f>IFERROR(Data!G312/Data!H312,0)</f>
        <v/>
      </c>
      <c r="E312" s="64">
        <f>IFERROR(Data!L312/Data!K312,0)</f>
        <v/>
      </c>
      <c r="F312" s="65">
        <f>Data!F312-Data!E312</f>
        <v/>
      </c>
      <c r="G312" s="21">
        <f>IFERROR(Data!G312/Data!F312,0)</f>
        <v/>
      </c>
      <c r="H312" s="22">
        <f>IF(ABS(G312-Data!I312)&lt;Summary!$B$4,"OK","CHECK")</f>
        <v/>
      </c>
      <c r="I312" s="1" t="n"/>
      <c r="J312" s="1" t="n"/>
    </row>
    <row r="313">
      <c r="A313" s="17">
        <f>Data!A313</f>
        <v/>
      </c>
      <c r="B313" s="63">
        <f>Data!B313</f>
        <v/>
      </c>
      <c r="C313" s="17">
        <f>Data!D313</f>
        <v/>
      </c>
      <c r="D313" s="64">
        <f>IFERROR(Data!G313/Data!H313,0)</f>
        <v/>
      </c>
      <c r="E313" s="64">
        <f>IFERROR(Data!L313/Data!K313,0)</f>
        <v/>
      </c>
      <c r="F313" s="65">
        <f>Data!F313-Data!E313</f>
        <v/>
      </c>
      <c r="G313" s="21">
        <f>IFERROR(Data!G313/Data!F313,0)</f>
        <v/>
      </c>
      <c r="H313" s="22">
        <f>IF(ABS(G313-Data!I313)&lt;Summary!$B$4,"OK","CHECK")</f>
        <v/>
      </c>
      <c r="I313" s="1" t="n"/>
      <c r="J313" s="1" t="n"/>
    </row>
    <row r="314">
      <c r="A314" s="17">
        <f>Data!A314</f>
        <v/>
      </c>
      <c r="B314" s="63">
        <f>Data!B314</f>
        <v/>
      </c>
      <c r="C314" s="17">
        <f>Data!D314</f>
        <v/>
      </c>
      <c r="D314" s="64">
        <f>IFERROR(Data!G314/Data!H314,0)</f>
        <v/>
      </c>
      <c r="E314" s="64">
        <f>IFERROR(Data!L314/Data!K314,0)</f>
        <v/>
      </c>
      <c r="F314" s="65">
        <f>Data!F314-Data!E314</f>
        <v/>
      </c>
      <c r="G314" s="21">
        <f>IFERROR(Data!G314/Data!F314,0)</f>
        <v/>
      </c>
      <c r="H314" s="22">
        <f>IF(ABS(G314-Data!I314)&lt;Summary!$B$4,"OK","CHECK")</f>
        <v/>
      </c>
      <c r="I314" s="1" t="n"/>
      <c r="J314" s="1" t="n"/>
    </row>
    <row r="315">
      <c r="A315" s="17">
        <f>Data!A315</f>
        <v/>
      </c>
      <c r="B315" s="63">
        <f>Data!B315</f>
        <v/>
      </c>
      <c r="C315" s="17">
        <f>Data!D315</f>
        <v/>
      </c>
      <c r="D315" s="64">
        <f>IFERROR(Data!G315/Data!H315,0)</f>
        <v/>
      </c>
      <c r="E315" s="64">
        <f>IFERROR(Data!L315/Data!K315,0)</f>
        <v/>
      </c>
      <c r="F315" s="65">
        <f>Data!F315-Data!E315</f>
        <v/>
      </c>
      <c r="G315" s="21">
        <f>IFERROR(Data!G315/Data!F315,0)</f>
        <v/>
      </c>
      <c r="H315" s="22">
        <f>IF(ABS(G315-Data!I315)&lt;Summary!$B$4,"OK","CHECK")</f>
        <v/>
      </c>
      <c r="I315" s="1" t="n"/>
      <c r="J315" s="1" t="n"/>
    </row>
    <row r="316">
      <c r="A316" s="17">
        <f>Data!A316</f>
        <v/>
      </c>
      <c r="B316" s="63">
        <f>Data!B316</f>
        <v/>
      </c>
      <c r="C316" s="17">
        <f>Data!D316</f>
        <v/>
      </c>
      <c r="D316" s="64">
        <f>IFERROR(Data!G316/Data!H316,0)</f>
        <v/>
      </c>
      <c r="E316" s="64">
        <f>IFERROR(Data!L316/Data!K316,0)</f>
        <v/>
      </c>
      <c r="F316" s="65">
        <f>Data!F316-Data!E316</f>
        <v/>
      </c>
      <c r="G316" s="21">
        <f>IFERROR(Data!G316/Data!F316,0)</f>
        <v/>
      </c>
      <c r="H316" s="22">
        <f>IF(ABS(G316-Data!I316)&lt;Summary!$B$4,"OK","CHECK")</f>
        <v/>
      </c>
      <c r="I316" s="1" t="n"/>
      <c r="J316" s="1" t="n"/>
    </row>
    <row r="317">
      <c r="A317" s="17">
        <f>Data!A317</f>
        <v/>
      </c>
      <c r="B317" s="63">
        <f>Data!B317</f>
        <v/>
      </c>
      <c r="C317" s="17">
        <f>Data!D317</f>
        <v/>
      </c>
      <c r="D317" s="64">
        <f>IFERROR(Data!G317/Data!H317,0)</f>
        <v/>
      </c>
      <c r="E317" s="64">
        <f>IFERROR(Data!L317/Data!K317,0)</f>
        <v/>
      </c>
      <c r="F317" s="65">
        <f>Data!F317-Data!E317</f>
        <v/>
      </c>
      <c r="G317" s="21">
        <f>IFERROR(Data!G317/Data!F317,0)</f>
        <v/>
      </c>
      <c r="H317" s="22">
        <f>IF(ABS(G317-Data!I317)&lt;Summary!$B$4,"OK","CHECK")</f>
        <v/>
      </c>
      <c r="I317" s="1" t="n"/>
      <c r="J317" s="1" t="n"/>
    </row>
    <row r="318">
      <c r="A318" s="17">
        <f>Data!A318</f>
        <v/>
      </c>
      <c r="B318" s="63">
        <f>Data!B318</f>
        <v/>
      </c>
      <c r="C318" s="17">
        <f>Data!D318</f>
        <v/>
      </c>
      <c r="D318" s="64">
        <f>IFERROR(Data!G318/Data!H318,0)</f>
        <v/>
      </c>
      <c r="E318" s="64">
        <f>IFERROR(Data!L318/Data!K318,0)</f>
        <v/>
      </c>
      <c r="F318" s="65">
        <f>Data!F318-Data!E318</f>
        <v/>
      </c>
      <c r="G318" s="21">
        <f>IFERROR(Data!G318/Data!F318,0)</f>
        <v/>
      </c>
      <c r="H318" s="22">
        <f>IF(ABS(G318-Data!I318)&lt;Summary!$B$4,"OK","CHECK")</f>
        <v/>
      </c>
      <c r="I318" s="1" t="n"/>
      <c r="J318" s="1" t="n"/>
    </row>
    <row r="319">
      <c r="A319" s="17">
        <f>Data!A319</f>
        <v/>
      </c>
      <c r="B319" s="63">
        <f>Data!B319</f>
        <v/>
      </c>
      <c r="C319" s="17">
        <f>Data!D319</f>
        <v/>
      </c>
      <c r="D319" s="64">
        <f>IFERROR(Data!G319/Data!H319,0)</f>
        <v/>
      </c>
      <c r="E319" s="64">
        <f>IFERROR(Data!L319/Data!K319,0)</f>
        <v/>
      </c>
      <c r="F319" s="65">
        <f>Data!F319-Data!E319</f>
        <v/>
      </c>
      <c r="G319" s="21">
        <f>IFERROR(Data!G319/Data!F319,0)</f>
        <v/>
      </c>
      <c r="H319" s="22">
        <f>IF(ABS(G319-Data!I319)&lt;Summary!$B$4,"OK","CHECK")</f>
        <v/>
      </c>
      <c r="I319" s="1" t="n"/>
      <c r="J319" s="1" t="n"/>
    </row>
    <row r="320">
      <c r="A320" s="17">
        <f>Data!A320</f>
        <v/>
      </c>
      <c r="B320" s="63">
        <f>Data!B320</f>
        <v/>
      </c>
      <c r="C320" s="17">
        <f>Data!D320</f>
        <v/>
      </c>
      <c r="D320" s="64">
        <f>IFERROR(Data!G320/Data!H320,0)</f>
        <v/>
      </c>
      <c r="E320" s="64">
        <f>IFERROR(Data!L320/Data!K320,0)</f>
        <v/>
      </c>
      <c r="F320" s="65">
        <f>Data!F320-Data!E320</f>
        <v/>
      </c>
      <c r="G320" s="21">
        <f>IFERROR(Data!G320/Data!F320,0)</f>
        <v/>
      </c>
      <c r="H320" s="22">
        <f>IF(ABS(G320-Data!I320)&lt;Summary!$B$4,"OK","CHECK")</f>
        <v/>
      </c>
      <c r="I320" s="1" t="n"/>
      <c r="J320" s="1" t="n"/>
    </row>
    <row r="321">
      <c r="A321" s="17">
        <f>Data!A321</f>
        <v/>
      </c>
      <c r="B321" s="63">
        <f>Data!B321</f>
        <v/>
      </c>
      <c r="C321" s="17">
        <f>Data!D321</f>
        <v/>
      </c>
      <c r="D321" s="64">
        <f>IFERROR(Data!G321/Data!H321,0)</f>
        <v/>
      </c>
      <c r="E321" s="64">
        <f>IFERROR(Data!L321/Data!K321,0)</f>
        <v/>
      </c>
      <c r="F321" s="65">
        <f>Data!F321-Data!E321</f>
        <v/>
      </c>
      <c r="G321" s="21">
        <f>IFERROR(Data!G321/Data!F321,0)</f>
        <v/>
      </c>
      <c r="H321" s="22">
        <f>IF(ABS(G321-Data!I321)&lt;Summary!$B$4,"OK","CHECK")</f>
        <v/>
      </c>
      <c r="I321" s="1" t="n"/>
      <c r="J321" s="1" t="n"/>
    </row>
    <row r="322">
      <c r="A322" s="17">
        <f>Data!A322</f>
        <v/>
      </c>
      <c r="B322" s="63">
        <f>Data!B322</f>
        <v/>
      </c>
      <c r="C322" s="17">
        <f>Data!D322</f>
        <v/>
      </c>
      <c r="D322" s="64">
        <f>IFERROR(Data!G322/Data!H322,0)</f>
        <v/>
      </c>
      <c r="E322" s="64">
        <f>IFERROR(Data!L322/Data!K322,0)</f>
        <v/>
      </c>
      <c r="F322" s="65">
        <f>Data!F322-Data!E322</f>
        <v/>
      </c>
      <c r="G322" s="21">
        <f>IFERROR(Data!G322/Data!F322,0)</f>
        <v/>
      </c>
      <c r="H322" s="22">
        <f>IF(ABS(G322-Data!I322)&lt;Summary!$B$4,"OK","CHECK")</f>
        <v/>
      </c>
      <c r="I322" s="1" t="n"/>
      <c r="J322" s="1" t="n"/>
    </row>
    <row r="323">
      <c r="A323" s="17">
        <f>Data!A323</f>
        <v/>
      </c>
      <c r="B323" s="63">
        <f>Data!B323</f>
        <v/>
      </c>
      <c r="C323" s="17">
        <f>Data!D323</f>
        <v/>
      </c>
      <c r="D323" s="64">
        <f>IFERROR(Data!G323/Data!H323,0)</f>
        <v/>
      </c>
      <c r="E323" s="64">
        <f>IFERROR(Data!L323/Data!K323,0)</f>
        <v/>
      </c>
      <c r="F323" s="65">
        <f>Data!F323-Data!E323</f>
        <v/>
      </c>
      <c r="G323" s="21">
        <f>IFERROR(Data!G323/Data!F323,0)</f>
        <v/>
      </c>
      <c r="H323" s="22">
        <f>IF(ABS(G323-Data!I323)&lt;Summary!$B$4,"OK","CHECK")</f>
        <v/>
      </c>
      <c r="I323" s="1" t="n"/>
      <c r="J323" s="1" t="n"/>
    </row>
    <row r="324">
      <c r="A324" s="17">
        <f>Data!A324</f>
        <v/>
      </c>
      <c r="B324" s="63">
        <f>Data!B324</f>
        <v/>
      </c>
      <c r="C324" s="17">
        <f>Data!D324</f>
        <v/>
      </c>
      <c r="D324" s="64">
        <f>IFERROR(Data!G324/Data!H324,0)</f>
        <v/>
      </c>
      <c r="E324" s="64">
        <f>IFERROR(Data!L324/Data!K324,0)</f>
        <v/>
      </c>
      <c r="F324" s="65">
        <f>Data!F324-Data!E324</f>
        <v/>
      </c>
      <c r="G324" s="21">
        <f>IFERROR(Data!G324/Data!F324,0)</f>
        <v/>
      </c>
      <c r="H324" s="22">
        <f>IF(ABS(G324-Data!I324)&lt;Summary!$B$4,"OK","CHECK")</f>
        <v/>
      </c>
      <c r="I324" s="1" t="n"/>
      <c r="J324" s="1" t="n"/>
    </row>
    <row r="325">
      <c r="A325" s="17">
        <f>Data!A325</f>
        <v/>
      </c>
      <c r="B325" s="63">
        <f>Data!B325</f>
        <v/>
      </c>
      <c r="C325" s="17">
        <f>Data!D325</f>
        <v/>
      </c>
      <c r="D325" s="64">
        <f>IFERROR(Data!G325/Data!H325,0)</f>
        <v/>
      </c>
      <c r="E325" s="64">
        <f>IFERROR(Data!L325/Data!K325,0)</f>
        <v/>
      </c>
      <c r="F325" s="65">
        <f>Data!F325-Data!E325</f>
        <v/>
      </c>
      <c r="G325" s="21">
        <f>IFERROR(Data!G325/Data!F325,0)</f>
        <v/>
      </c>
      <c r="H325" s="22">
        <f>IF(ABS(G325-Data!I325)&lt;Summary!$B$4,"OK","CHECK")</f>
        <v/>
      </c>
      <c r="I325" s="1" t="n"/>
      <c r="J325" s="1" t="n"/>
    </row>
    <row r="326">
      <c r="A326" s="17">
        <f>Data!A326</f>
        <v/>
      </c>
      <c r="B326" s="63">
        <f>Data!B326</f>
        <v/>
      </c>
      <c r="C326" s="17">
        <f>Data!D326</f>
        <v/>
      </c>
      <c r="D326" s="64">
        <f>IFERROR(Data!G326/Data!H326,0)</f>
        <v/>
      </c>
      <c r="E326" s="64">
        <f>IFERROR(Data!L326/Data!K326,0)</f>
        <v/>
      </c>
      <c r="F326" s="65">
        <f>Data!F326-Data!E326</f>
        <v/>
      </c>
      <c r="G326" s="21">
        <f>IFERROR(Data!G326/Data!F326,0)</f>
        <v/>
      </c>
      <c r="H326" s="22">
        <f>IF(ABS(G326-Data!I326)&lt;Summary!$B$4,"OK","CHECK")</f>
        <v/>
      </c>
      <c r="I326" s="1" t="n"/>
      <c r="J326" s="1" t="n"/>
    </row>
    <row r="327">
      <c r="A327" s="17">
        <f>Data!A327</f>
        <v/>
      </c>
      <c r="B327" s="63">
        <f>Data!B327</f>
        <v/>
      </c>
      <c r="C327" s="17">
        <f>Data!D327</f>
        <v/>
      </c>
      <c r="D327" s="64">
        <f>IFERROR(Data!G327/Data!H327,0)</f>
        <v/>
      </c>
      <c r="E327" s="64">
        <f>IFERROR(Data!L327/Data!K327,0)</f>
        <v/>
      </c>
      <c r="F327" s="65">
        <f>Data!F327-Data!E327</f>
        <v/>
      </c>
      <c r="G327" s="21">
        <f>IFERROR(Data!G327/Data!F327,0)</f>
        <v/>
      </c>
      <c r="H327" s="22">
        <f>IF(ABS(G327-Data!I327)&lt;Summary!$B$4,"OK","CHECK")</f>
        <v/>
      </c>
      <c r="I327" s="1" t="n"/>
      <c r="J327" s="1" t="n"/>
    </row>
    <row r="328">
      <c r="A328" s="17">
        <f>Data!A328</f>
        <v/>
      </c>
      <c r="B328" s="63">
        <f>Data!B328</f>
        <v/>
      </c>
      <c r="C328" s="17">
        <f>Data!D328</f>
        <v/>
      </c>
      <c r="D328" s="64">
        <f>IFERROR(Data!G328/Data!H328,0)</f>
        <v/>
      </c>
      <c r="E328" s="64">
        <f>IFERROR(Data!L328/Data!K328,0)</f>
        <v/>
      </c>
      <c r="F328" s="65">
        <f>Data!F328-Data!E328</f>
        <v/>
      </c>
      <c r="G328" s="21">
        <f>IFERROR(Data!G328/Data!F328,0)</f>
        <v/>
      </c>
      <c r="H328" s="22">
        <f>IF(ABS(G328-Data!I328)&lt;Summary!$B$4,"OK","CHECK")</f>
        <v/>
      </c>
      <c r="I328" s="1" t="n"/>
      <c r="J328" s="1" t="n"/>
    </row>
    <row r="329">
      <c r="A329" s="17">
        <f>Data!A329</f>
        <v/>
      </c>
      <c r="B329" s="63">
        <f>Data!B329</f>
        <v/>
      </c>
      <c r="C329" s="17">
        <f>Data!D329</f>
        <v/>
      </c>
      <c r="D329" s="64">
        <f>IFERROR(Data!G329/Data!H329,0)</f>
        <v/>
      </c>
      <c r="E329" s="64">
        <f>IFERROR(Data!L329/Data!K329,0)</f>
        <v/>
      </c>
      <c r="F329" s="65">
        <f>Data!F329-Data!E329</f>
        <v/>
      </c>
      <c r="G329" s="21">
        <f>IFERROR(Data!G329/Data!F329,0)</f>
        <v/>
      </c>
      <c r="H329" s="22">
        <f>IF(ABS(G329-Data!I329)&lt;Summary!$B$4,"OK","CHECK")</f>
        <v/>
      </c>
      <c r="I329" s="1" t="n"/>
      <c r="J329" s="1" t="n"/>
    </row>
    <row r="330">
      <c r="A330" s="17">
        <f>Data!A330</f>
        <v/>
      </c>
      <c r="B330" s="63">
        <f>Data!B330</f>
        <v/>
      </c>
      <c r="C330" s="17">
        <f>Data!D330</f>
        <v/>
      </c>
      <c r="D330" s="64">
        <f>IFERROR(Data!G330/Data!H330,0)</f>
        <v/>
      </c>
      <c r="E330" s="64">
        <f>IFERROR(Data!L330/Data!K330,0)</f>
        <v/>
      </c>
      <c r="F330" s="65">
        <f>Data!F330-Data!E330</f>
        <v/>
      </c>
      <c r="G330" s="21">
        <f>IFERROR(Data!G330/Data!F330,0)</f>
        <v/>
      </c>
      <c r="H330" s="22">
        <f>IF(ABS(G330-Data!I330)&lt;Summary!$B$4,"OK","CHECK")</f>
        <v/>
      </c>
      <c r="I330" s="1" t="n"/>
      <c r="J330" s="1" t="n"/>
    </row>
    <row r="331">
      <c r="A331" s="17">
        <f>Data!A331</f>
        <v/>
      </c>
      <c r="B331" s="63">
        <f>Data!B331</f>
        <v/>
      </c>
      <c r="C331" s="17">
        <f>Data!D331</f>
        <v/>
      </c>
      <c r="D331" s="64">
        <f>IFERROR(Data!G331/Data!H331,0)</f>
        <v/>
      </c>
      <c r="E331" s="64">
        <f>IFERROR(Data!L331/Data!K331,0)</f>
        <v/>
      </c>
      <c r="F331" s="65">
        <f>Data!F331-Data!E331</f>
        <v/>
      </c>
      <c r="G331" s="21">
        <f>IFERROR(Data!G331/Data!F331,0)</f>
        <v/>
      </c>
      <c r="H331" s="22">
        <f>IF(ABS(G331-Data!I331)&lt;Summary!$B$4,"OK","CHECK")</f>
        <v/>
      </c>
      <c r="I331" s="1" t="n"/>
      <c r="J331" s="1" t="n"/>
    </row>
    <row r="332">
      <c r="A332" s="17">
        <f>Data!A332</f>
        <v/>
      </c>
      <c r="B332" s="63">
        <f>Data!B332</f>
        <v/>
      </c>
      <c r="C332" s="17">
        <f>Data!D332</f>
        <v/>
      </c>
      <c r="D332" s="64">
        <f>IFERROR(Data!G332/Data!H332,0)</f>
        <v/>
      </c>
      <c r="E332" s="64">
        <f>IFERROR(Data!L332/Data!K332,0)</f>
        <v/>
      </c>
      <c r="F332" s="65">
        <f>Data!F332-Data!E332</f>
        <v/>
      </c>
      <c r="G332" s="21">
        <f>IFERROR(Data!G332/Data!F332,0)</f>
        <v/>
      </c>
      <c r="H332" s="22">
        <f>IF(ABS(G332-Data!I332)&lt;Summary!$B$4,"OK","CHECK")</f>
        <v/>
      </c>
      <c r="I332" s="1" t="n"/>
      <c r="J332" s="1" t="n"/>
    </row>
    <row r="333">
      <c r="A333" s="17">
        <f>Data!A333</f>
        <v/>
      </c>
      <c r="B333" s="63">
        <f>Data!B333</f>
        <v/>
      </c>
      <c r="C333" s="17">
        <f>Data!D333</f>
        <v/>
      </c>
      <c r="D333" s="64">
        <f>IFERROR(Data!G333/Data!H333,0)</f>
        <v/>
      </c>
      <c r="E333" s="64">
        <f>IFERROR(Data!L333/Data!K333,0)</f>
        <v/>
      </c>
      <c r="F333" s="65">
        <f>Data!F333-Data!E333</f>
        <v/>
      </c>
      <c r="G333" s="21">
        <f>IFERROR(Data!G333/Data!F333,0)</f>
        <v/>
      </c>
      <c r="H333" s="22">
        <f>IF(ABS(G333-Data!I333)&lt;Summary!$B$4,"OK","CHECK")</f>
        <v/>
      </c>
      <c r="I333" s="1" t="n"/>
      <c r="J333" s="1" t="n"/>
    </row>
    <row r="334">
      <c r="A334" s="17">
        <f>Data!A334</f>
        <v/>
      </c>
      <c r="B334" s="63">
        <f>Data!B334</f>
        <v/>
      </c>
      <c r="C334" s="17">
        <f>Data!D334</f>
        <v/>
      </c>
      <c r="D334" s="64">
        <f>IFERROR(Data!G334/Data!H334,0)</f>
        <v/>
      </c>
      <c r="E334" s="64">
        <f>IFERROR(Data!L334/Data!K334,0)</f>
        <v/>
      </c>
      <c r="F334" s="65">
        <f>Data!F334-Data!E334</f>
        <v/>
      </c>
      <c r="G334" s="21">
        <f>IFERROR(Data!G334/Data!F334,0)</f>
        <v/>
      </c>
      <c r="H334" s="22">
        <f>IF(ABS(G334-Data!I334)&lt;Summary!$B$4,"OK","CHECK")</f>
        <v/>
      </c>
      <c r="I334" s="1" t="n"/>
      <c r="J334" s="1" t="n"/>
    </row>
    <row r="335">
      <c r="A335" s="17">
        <f>Data!A335</f>
        <v/>
      </c>
      <c r="B335" s="63">
        <f>Data!B335</f>
        <v/>
      </c>
      <c r="C335" s="17">
        <f>Data!D335</f>
        <v/>
      </c>
      <c r="D335" s="64">
        <f>IFERROR(Data!G335/Data!H335,0)</f>
        <v/>
      </c>
      <c r="E335" s="64">
        <f>IFERROR(Data!L335/Data!K335,0)</f>
        <v/>
      </c>
      <c r="F335" s="65">
        <f>Data!F335-Data!E335</f>
        <v/>
      </c>
      <c r="G335" s="21">
        <f>IFERROR(Data!G335/Data!F335,0)</f>
        <v/>
      </c>
      <c r="H335" s="22">
        <f>IF(ABS(G335-Data!I335)&lt;Summary!$B$4,"OK","CHECK")</f>
        <v/>
      </c>
      <c r="I335" s="1" t="n"/>
      <c r="J335" s="1" t="n"/>
    </row>
    <row r="336">
      <c r="A336" s="17">
        <f>Data!A336</f>
        <v/>
      </c>
      <c r="B336" s="63">
        <f>Data!B336</f>
        <v/>
      </c>
      <c r="C336" s="17">
        <f>Data!D336</f>
        <v/>
      </c>
      <c r="D336" s="64">
        <f>IFERROR(Data!G336/Data!H336,0)</f>
        <v/>
      </c>
      <c r="E336" s="64">
        <f>IFERROR(Data!L336/Data!K336,0)</f>
        <v/>
      </c>
      <c r="F336" s="65">
        <f>Data!F336-Data!E336</f>
        <v/>
      </c>
      <c r="G336" s="21">
        <f>IFERROR(Data!G336/Data!F336,0)</f>
        <v/>
      </c>
      <c r="H336" s="22">
        <f>IF(ABS(G336-Data!I336)&lt;Summary!$B$4,"OK","CHECK")</f>
        <v/>
      </c>
      <c r="I336" s="1" t="n"/>
      <c r="J336" s="1" t="n"/>
    </row>
    <row r="337">
      <c r="A337" s="17">
        <f>Data!A337</f>
        <v/>
      </c>
      <c r="B337" s="63">
        <f>Data!B337</f>
        <v/>
      </c>
      <c r="C337" s="17">
        <f>Data!D337</f>
        <v/>
      </c>
      <c r="D337" s="64">
        <f>IFERROR(Data!G337/Data!H337,0)</f>
        <v/>
      </c>
      <c r="E337" s="64">
        <f>IFERROR(Data!L337/Data!K337,0)</f>
        <v/>
      </c>
      <c r="F337" s="65">
        <f>Data!F337-Data!E337</f>
        <v/>
      </c>
      <c r="G337" s="21">
        <f>IFERROR(Data!G337/Data!F337,0)</f>
        <v/>
      </c>
      <c r="H337" s="22">
        <f>IF(ABS(G337-Data!I337)&lt;Summary!$B$4,"OK","CHECK")</f>
        <v/>
      </c>
      <c r="I337" s="1" t="n"/>
      <c r="J337" s="1" t="n"/>
    </row>
    <row r="338">
      <c r="A338" s="17">
        <f>Data!A338</f>
        <v/>
      </c>
      <c r="B338" s="63">
        <f>Data!B338</f>
        <v/>
      </c>
      <c r="C338" s="17">
        <f>Data!D338</f>
        <v/>
      </c>
      <c r="D338" s="64">
        <f>IFERROR(Data!G338/Data!H338,0)</f>
        <v/>
      </c>
      <c r="E338" s="64">
        <f>IFERROR(Data!L338/Data!K338,0)</f>
        <v/>
      </c>
      <c r="F338" s="65">
        <f>Data!F338-Data!E338</f>
        <v/>
      </c>
      <c r="G338" s="21">
        <f>IFERROR(Data!G338/Data!F338,0)</f>
        <v/>
      </c>
      <c r="H338" s="22">
        <f>IF(ABS(G338-Data!I338)&lt;Summary!$B$4,"OK","CHECK")</f>
        <v/>
      </c>
      <c r="I338" s="1" t="n"/>
      <c r="J338" s="1" t="n"/>
    </row>
    <row r="339">
      <c r="A339" s="17">
        <f>Data!A339</f>
        <v/>
      </c>
      <c r="B339" s="63">
        <f>Data!B339</f>
        <v/>
      </c>
      <c r="C339" s="17">
        <f>Data!D339</f>
        <v/>
      </c>
      <c r="D339" s="64">
        <f>IFERROR(Data!G339/Data!H339,0)</f>
        <v/>
      </c>
      <c r="E339" s="64">
        <f>IFERROR(Data!L339/Data!K339,0)</f>
        <v/>
      </c>
      <c r="F339" s="65">
        <f>Data!F339-Data!E339</f>
        <v/>
      </c>
      <c r="G339" s="21">
        <f>IFERROR(Data!G339/Data!F339,0)</f>
        <v/>
      </c>
      <c r="H339" s="22">
        <f>IF(ABS(G339-Data!I339)&lt;Summary!$B$4,"OK","CHECK")</f>
        <v/>
      </c>
      <c r="I339" s="1" t="n"/>
      <c r="J339" s="1" t="n"/>
    </row>
    <row r="340">
      <c r="A340" s="17">
        <f>Data!A340</f>
        <v/>
      </c>
      <c r="B340" s="63">
        <f>Data!B340</f>
        <v/>
      </c>
      <c r="C340" s="17">
        <f>Data!D340</f>
        <v/>
      </c>
      <c r="D340" s="64">
        <f>IFERROR(Data!G340/Data!H340,0)</f>
        <v/>
      </c>
      <c r="E340" s="64">
        <f>IFERROR(Data!L340/Data!K340,0)</f>
        <v/>
      </c>
      <c r="F340" s="65">
        <f>Data!F340-Data!E340</f>
        <v/>
      </c>
      <c r="G340" s="21">
        <f>IFERROR(Data!G340/Data!F340,0)</f>
        <v/>
      </c>
      <c r="H340" s="22">
        <f>IF(ABS(G340-Data!I340)&lt;Summary!$B$4,"OK","CHECK")</f>
        <v/>
      </c>
      <c r="I340" s="1" t="n"/>
      <c r="J340" s="1" t="n"/>
    </row>
    <row r="341">
      <c r="A341" s="17">
        <f>Data!A341</f>
        <v/>
      </c>
      <c r="B341" s="63">
        <f>Data!B341</f>
        <v/>
      </c>
      <c r="C341" s="17">
        <f>Data!D341</f>
        <v/>
      </c>
      <c r="D341" s="64">
        <f>IFERROR(Data!G341/Data!H341,0)</f>
        <v/>
      </c>
      <c r="E341" s="64">
        <f>IFERROR(Data!L341/Data!K341,0)</f>
        <v/>
      </c>
      <c r="F341" s="65">
        <f>Data!F341-Data!E341</f>
        <v/>
      </c>
      <c r="G341" s="21">
        <f>IFERROR(Data!G341/Data!F341,0)</f>
        <v/>
      </c>
      <c r="H341" s="22">
        <f>IF(ABS(G341-Data!I341)&lt;Summary!$B$4,"OK","CHECK")</f>
        <v/>
      </c>
      <c r="I341" s="1" t="n"/>
      <c r="J341" s="1" t="n"/>
    </row>
    <row r="342">
      <c r="A342" s="17">
        <f>Data!A342</f>
        <v/>
      </c>
      <c r="B342" s="63">
        <f>Data!B342</f>
        <v/>
      </c>
      <c r="C342" s="17">
        <f>Data!D342</f>
        <v/>
      </c>
      <c r="D342" s="64">
        <f>IFERROR(Data!G342/Data!H342,0)</f>
        <v/>
      </c>
      <c r="E342" s="64">
        <f>IFERROR(Data!L342/Data!K342,0)</f>
        <v/>
      </c>
      <c r="F342" s="65">
        <f>Data!F342-Data!E342</f>
        <v/>
      </c>
      <c r="G342" s="21">
        <f>IFERROR(Data!G342/Data!F342,0)</f>
        <v/>
      </c>
      <c r="H342" s="22">
        <f>IF(ABS(G342-Data!I342)&lt;Summary!$B$4,"OK","CHECK")</f>
        <v/>
      </c>
      <c r="I342" s="1" t="n"/>
      <c r="J342" s="1" t="n"/>
    </row>
    <row r="343">
      <c r="A343" s="17">
        <f>Data!A343</f>
        <v/>
      </c>
      <c r="B343" s="63">
        <f>Data!B343</f>
        <v/>
      </c>
      <c r="C343" s="17">
        <f>Data!D343</f>
        <v/>
      </c>
      <c r="D343" s="64">
        <f>IFERROR(Data!G343/Data!H343,0)</f>
        <v/>
      </c>
      <c r="E343" s="64">
        <f>IFERROR(Data!L343/Data!K343,0)</f>
        <v/>
      </c>
      <c r="F343" s="65">
        <f>Data!F343-Data!E343</f>
        <v/>
      </c>
      <c r="G343" s="21">
        <f>IFERROR(Data!G343/Data!F343,0)</f>
        <v/>
      </c>
      <c r="H343" s="22">
        <f>IF(ABS(G343-Data!I343)&lt;Summary!$B$4,"OK","CHECK")</f>
        <v/>
      </c>
      <c r="I343" s="1" t="n"/>
      <c r="J343" s="1" t="n"/>
    </row>
    <row r="344">
      <c r="A344" s="17">
        <f>Data!A344</f>
        <v/>
      </c>
      <c r="B344" s="63">
        <f>Data!B344</f>
        <v/>
      </c>
      <c r="C344" s="17">
        <f>Data!D344</f>
        <v/>
      </c>
      <c r="D344" s="64">
        <f>IFERROR(Data!G344/Data!H344,0)</f>
        <v/>
      </c>
      <c r="E344" s="64">
        <f>IFERROR(Data!L344/Data!K344,0)</f>
        <v/>
      </c>
      <c r="F344" s="65">
        <f>Data!F344-Data!E344</f>
        <v/>
      </c>
      <c r="G344" s="21">
        <f>IFERROR(Data!G344/Data!F344,0)</f>
        <v/>
      </c>
      <c r="H344" s="22">
        <f>IF(ABS(G344-Data!I344)&lt;Summary!$B$4,"OK","CHECK")</f>
        <v/>
      </c>
      <c r="I344" s="1" t="n"/>
      <c r="J344" s="1" t="n"/>
    </row>
    <row r="345">
      <c r="A345" s="17">
        <f>Data!A345</f>
        <v/>
      </c>
      <c r="B345" s="63">
        <f>Data!B345</f>
        <v/>
      </c>
      <c r="C345" s="17">
        <f>Data!D345</f>
        <v/>
      </c>
      <c r="D345" s="64">
        <f>IFERROR(Data!G345/Data!H345,0)</f>
        <v/>
      </c>
      <c r="E345" s="64">
        <f>IFERROR(Data!L345/Data!K345,0)</f>
        <v/>
      </c>
      <c r="F345" s="65">
        <f>Data!F345-Data!E345</f>
        <v/>
      </c>
      <c r="G345" s="21">
        <f>IFERROR(Data!G345/Data!F345,0)</f>
        <v/>
      </c>
      <c r="H345" s="22">
        <f>IF(ABS(G345-Data!I345)&lt;Summary!$B$4,"OK","CHECK")</f>
        <v/>
      </c>
      <c r="I345" s="1" t="n"/>
      <c r="J345" s="1" t="n"/>
    </row>
    <row r="346">
      <c r="A346" s="17">
        <f>Data!A346</f>
        <v/>
      </c>
      <c r="B346" s="63">
        <f>Data!B346</f>
        <v/>
      </c>
      <c r="C346" s="17">
        <f>Data!D346</f>
        <v/>
      </c>
      <c r="D346" s="64">
        <f>IFERROR(Data!G346/Data!H346,0)</f>
        <v/>
      </c>
      <c r="E346" s="64">
        <f>IFERROR(Data!L346/Data!K346,0)</f>
        <v/>
      </c>
      <c r="F346" s="65">
        <f>Data!F346-Data!E346</f>
        <v/>
      </c>
      <c r="G346" s="21">
        <f>IFERROR(Data!G346/Data!F346,0)</f>
        <v/>
      </c>
      <c r="H346" s="22">
        <f>IF(ABS(G346-Data!I346)&lt;Summary!$B$4,"OK","CHECK")</f>
        <v/>
      </c>
      <c r="I346" s="1" t="n"/>
      <c r="J346" s="1" t="n"/>
    </row>
    <row r="347">
      <c r="A347" s="17">
        <f>Data!A347</f>
        <v/>
      </c>
      <c r="B347" s="63">
        <f>Data!B347</f>
        <v/>
      </c>
      <c r="C347" s="17">
        <f>Data!D347</f>
        <v/>
      </c>
      <c r="D347" s="64">
        <f>IFERROR(Data!G347/Data!H347,0)</f>
        <v/>
      </c>
      <c r="E347" s="64">
        <f>IFERROR(Data!L347/Data!K347,0)</f>
        <v/>
      </c>
      <c r="F347" s="65">
        <f>Data!F347-Data!E347</f>
        <v/>
      </c>
      <c r="G347" s="21">
        <f>IFERROR(Data!G347/Data!F347,0)</f>
        <v/>
      </c>
      <c r="H347" s="22">
        <f>IF(ABS(G347-Data!I347)&lt;Summary!$B$4,"OK","CHECK")</f>
        <v/>
      </c>
      <c r="I347" s="1" t="n"/>
      <c r="J347" s="1" t="n"/>
    </row>
    <row r="348">
      <c r="A348" s="17">
        <f>Data!A348</f>
        <v/>
      </c>
      <c r="B348" s="63">
        <f>Data!B348</f>
        <v/>
      </c>
      <c r="C348" s="17">
        <f>Data!D348</f>
        <v/>
      </c>
      <c r="D348" s="64">
        <f>IFERROR(Data!G348/Data!H348,0)</f>
        <v/>
      </c>
      <c r="E348" s="64">
        <f>IFERROR(Data!L348/Data!K348,0)</f>
        <v/>
      </c>
      <c r="F348" s="65">
        <f>Data!F348-Data!E348</f>
        <v/>
      </c>
      <c r="G348" s="21">
        <f>IFERROR(Data!G348/Data!F348,0)</f>
        <v/>
      </c>
      <c r="H348" s="22">
        <f>IF(ABS(G348-Data!I348)&lt;Summary!$B$4,"OK","CHECK")</f>
        <v/>
      </c>
      <c r="I348" s="1" t="n"/>
      <c r="J348" s="1" t="n"/>
    </row>
    <row r="349">
      <c r="A349" s="17">
        <f>Data!A349</f>
        <v/>
      </c>
      <c r="B349" s="63">
        <f>Data!B349</f>
        <v/>
      </c>
      <c r="C349" s="17">
        <f>Data!D349</f>
        <v/>
      </c>
      <c r="D349" s="64">
        <f>IFERROR(Data!G349/Data!H349,0)</f>
        <v/>
      </c>
      <c r="E349" s="64">
        <f>IFERROR(Data!L349/Data!K349,0)</f>
        <v/>
      </c>
      <c r="F349" s="65">
        <f>Data!F349-Data!E349</f>
        <v/>
      </c>
      <c r="G349" s="21">
        <f>IFERROR(Data!G349/Data!F349,0)</f>
        <v/>
      </c>
      <c r="H349" s="22">
        <f>IF(ABS(G349-Data!I349)&lt;Summary!$B$4,"OK","CHECK")</f>
        <v/>
      </c>
      <c r="I349" s="1" t="n"/>
      <c r="J349" s="1" t="n"/>
    </row>
    <row r="350">
      <c r="A350" s="17">
        <f>Data!A350</f>
        <v/>
      </c>
      <c r="B350" s="63">
        <f>Data!B350</f>
        <v/>
      </c>
      <c r="C350" s="17">
        <f>Data!D350</f>
        <v/>
      </c>
      <c r="D350" s="64">
        <f>IFERROR(Data!G350/Data!H350,0)</f>
        <v/>
      </c>
      <c r="E350" s="64">
        <f>IFERROR(Data!L350/Data!K350,0)</f>
        <v/>
      </c>
      <c r="F350" s="65">
        <f>Data!F350-Data!E350</f>
        <v/>
      </c>
      <c r="G350" s="21">
        <f>IFERROR(Data!G350/Data!F350,0)</f>
        <v/>
      </c>
      <c r="H350" s="22">
        <f>IF(ABS(G350-Data!I350)&lt;Summary!$B$4,"OK","CHECK")</f>
        <v/>
      </c>
      <c r="I350" s="1" t="n"/>
      <c r="J350" s="1" t="n"/>
    </row>
    <row r="351">
      <c r="A351" s="17">
        <f>Data!A351</f>
        <v/>
      </c>
      <c r="B351" s="63">
        <f>Data!B351</f>
        <v/>
      </c>
      <c r="C351" s="17">
        <f>Data!D351</f>
        <v/>
      </c>
      <c r="D351" s="64">
        <f>IFERROR(Data!G351/Data!H351,0)</f>
        <v/>
      </c>
      <c r="E351" s="64">
        <f>IFERROR(Data!L351/Data!K351,0)</f>
        <v/>
      </c>
      <c r="F351" s="65">
        <f>Data!F351-Data!E351</f>
        <v/>
      </c>
      <c r="G351" s="21">
        <f>IFERROR(Data!G351/Data!F351,0)</f>
        <v/>
      </c>
      <c r="H351" s="22">
        <f>IF(ABS(G351-Data!I351)&lt;Summary!$B$4,"OK","CHECK")</f>
        <v/>
      </c>
      <c r="I351" s="1" t="n"/>
      <c r="J351" s="1" t="n"/>
    </row>
    <row r="352">
      <c r="A352" s="17">
        <f>Data!A352</f>
        <v/>
      </c>
      <c r="B352" s="63">
        <f>Data!B352</f>
        <v/>
      </c>
      <c r="C352" s="17">
        <f>Data!D352</f>
        <v/>
      </c>
      <c r="D352" s="64">
        <f>IFERROR(Data!G352/Data!H352,0)</f>
        <v/>
      </c>
      <c r="E352" s="64">
        <f>IFERROR(Data!L352/Data!K352,0)</f>
        <v/>
      </c>
      <c r="F352" s="65">
        <f>Data!F352-Data!E352</f>
        <v/>
      </c>
      <c r="G352" s="21">
        <f>IFERROR(Data!G352/Data!F352,0)</f>
        <v/>
      </c>
      <c r="H352" s="22">
        <f>IF(ABS(G352-Data!I352)&lt;Summary!$B$4,"OK","CHECK")</f>
        <v/>
      </c>
      <c r="I352" s="1" t="n"/>
      <c r="J352" s="1" t="n"/>
    </row>
    <row r="353">
      <c r="A353" s="17">
        <f>Data!A353</f>
        <v/>
      </c>
      <c r="B353" s="63">
        <f>Data!B353</f>
        <v/>
      </c>
      <c r="C353" s="17">
        <f>Data!D353</f>
        <v/>
      </c>
      <c r="D353" s="64">
        <f>IFERROR(Data!G353/Data!H353,0)</f>
        <v/>
      </c>
      <c r="E353" s="64">
        <f>IFERROR(Data!L353/Data!K353,0)</f>
        <v/>
      </c>
      <c r="F353" s="65">
        <f>Data!F353-Data!E353</f>
        <v/>
      </c>
      <c r="G353" s="21">
        <f>IFERROR(Data!G353/Data!F353,0)</f>
        <v/>
      </c>
      <c r="H353" s="22">
        <f>IF(ABS(G353-Data!I353)&lt;Summary!$B$4,"OK","CHECK")</f>
        <v/>
      </c>
      <c r="I353" s="1" t="n"/>
      <c r="J353" s="1" t="n"/>
    </row>
    <row r="354">
      <c r="A354" s="17">
        <f>Data!A354</f>
        <v/>
      </c>
      <c r="B354" s="63">
        <f>Data!B354</f>
        <v/>
      </c>
      <c r="C354" s="17">
        <f>Data!D354</f>
        <v/>
      </c>
      <c r="D354" s="64">
        <f>IFERROR(Data!G354/Data!H354,0)</f>
        <v/>
      </c>
      <c r="E354" s="64">
        <f>IFERROR(Data!L354/Data!K354,0)</f>
        <v/>
      </c>
      <c r="F354" s="65">
        <f>Data!F354-Data!E354</f>
        <v/>
      </c>
      <c r="G354" s="21">
        <f>IFERROR(Data!G354/Data!F354,0)</f>
        <v/>
      </c>
      <c r="H354" s="22">
        <f>IF(ABS(G354-Data!I354)&lt;Summary!$B$4,"OK","CHECK")</f>
        <v/>
      </c>
      <c r="I354" s="1" t="n"/>
      <c r="J354" s="1" t="n"/>
    </row>
    <row r="355">
      <c r="A355" s="17">
        <f>Data!A355</f>
        <v/>
      </c>
      <c r="B355" s="63">
        <f>Data!B355</f>
        <v/>
      </c>
      <c r="C355" s="17">
        <f>Data!D355</f>
        <v/>
      </c>
      <c r="D355" s="64">
        <f>IFERROR(Data!G355/Data!H355,0)</f>
        <v/>
      </c>
      <c r="E355" s="64">
        <f>IFERROR(Data!L355/Data!K355,0)</f>
        <v/>
      </c>
      <c r="F355" s="65">
        <f>Data!F355-Data!E355</f>
        <v/>
      </c>
      <c r="G355" s="21">
        <f>IFERROR(Data!G355/Data!F355,0)</f>
        <v/>
      </c>
      <c r="H355" s="22">
        <f>IF(ABS(G355-Data!I355)&lt;Summary!$B$4,"OK","CHECK")</f>
        <v/>
      </c>
      <c r="I355" s="1" t="n"/>
      <c r="J355" s="1" t="n"/>
    </row>
    <row r="356">
      <c r="A356" s="17">
        <f>Data!A356</f>
        <v/>
      </c>
      <c r="B356" s="63">
        <f>Data!B356</f>
        <v/>
      </c>
      <c r="C356" s="17">
        <f>Data!D356</f>
        <v/>
      </c>
      <c r="D356" s="64">
        <f>IFERROR(Data!G356/Data!H356,0)</f>
        <v/>
      </c>
      <c r="E356" s="64">
        <f>IFERROR(Data!L356/Data!K356,0)</f>
        <v/>
      </c>
      <c r="F356" s="65">
        <f>Data!F356-Data!E356</f>
        <v/>
      </c>
      <c r="G356" s="21">
        <f>IFERROR(Data!G356/Data!F356,0)</f>
        <v/>
      </c>
      <c r="H356" s="22">
        <f>IF(ABS(G356-Data!I356)&lt;Summary!$B$4,"OK","CHECK")</f>
        <v/>
      </c>
      <c r="I356" s="1" t="n"/>
      <c r="J356" s="1" t="n"/>
    </row>
    <row r="357">
      <c r="A357" s="17">
        <f>Data!A357</f>
        <v/>
      </c>
      <c r="B357" s="63">
        <f>Data!B357</f>
        <v/>
      </c>
      <c r="C357" s="17">
        <f>Data!D357</f>
        <v/>
      </c>
      <c r="D357" s="64">
        <f>IFERROR(Data!G357/Data!H357,0)</f>
        <v/>
      </c>
      <c r="E357" s="64">
        <f>IFERROR(Data!L357/Data!K357,0)</f>
        <v/>
      </c>
      <c r="F357" s="65">
        <f>Data!F357-Data!E357</f>
        <v/>
      </c>
      <c r="G357" s="21">
        <f>IFERROR(Data!G357/Data!F357,0)</f>
        <v/>
      </c>
      <c r="H357" s="22">
        <f>IF(ABS(G357-Data!I357)&lt;Summary!$B$4,"OK","CHECK")</f>
        <v/>
      </c>
      <c r="I357" s="1" t="n"/>
      <c r="J357" s="1" t="n"/>
    </row>
    <row r="358">
      <c r="A358" s="17">
        <f>Data!A358</f>
        <v/>
      </c>
      <c r="B358" s="63">
        <f>Data!B358</f>
        <v/>
      </c>
      <c r="C358" s="17">
        <f>Data!D358</f>
        <v/>
      </c>
      <c r="D358" s="64">
        <f>IFERROR(Data!G358/Data!H358,0)</f>
        <v/>
      </c>
      <c r="E358" s="64">
        <f>IFERROR(Data!L358/Data!K358,0)</f>
        <v/>
      </c>
      <c r="F358" s="65">
        <f>Data!F358-Data!E358</f>
        <v/>
      </c>
      <c r="G358" s="21">
        <f>IFERROR(Data!G358/Data!F358,0)</f>
        <v/>
      </c>
      <c r="H358" s="22">
        <f>IF(ABS(G358-Data!I358)&lt;Summary!$B$4,"OK","CHECK")</f>
        <v/>
      </c>
      <c r="I358" s="1" t="n"/>
      <c r="J358" s="1" t="n"/>
    </row>
    <row r="359">
      <c r="A359" s="17">
        <f>Data!A359</f>
        <v/>
      </c>
      <c r="B359" s="63">
        <f>Data!B359</f>
        <v/>
      </c>
      <c r="C359" s="17">
        <f>Data!D359</f>
        <v/>
      </c>
      <c r="D359" s="64">
        <f>IFERROR(Data!G359/Data!H359,0)</f>
        <v/>
      </c>
      <c r="E359" s="64">
        <f>IFERROR(Data!L359/Data!K359,0)</f>
        <v/>
      </c>
      <c r="F359" s="65">
        <f>Data!F359-Data!E359</f>
        <v/>
      </c>
      <c r="G359" s="21">
        <f>IFERROR(Data!G359/Data!F359,0)</f>
        <v/>
      </c>
      <c r="H359" s="22">
        <f>IF(ABS(G359-Data!I359)&lt;Summary!$B$4,"OK","CHECK")</f>
        <v/>
      </c>
      <c r="I359" s="1" t="n"/>
      <c r="J359" s="1" t="n"/>
    </row>
    <row r="360">
      <c r="A360" s="17">
        <f>Data!A360</f>
        <v/>
      </c>
      <c r="B360" s="63">
        <f>Data!B360</f>
        <v/>
      </c>
      <c r="C360" s="17">
        <f>Data!D360</f>
        <v/>
      </c>
      <c r="D360" s="64">
        <f>IFERROR(Data!G360/Data!H360,0)</f>
        <v/>
      </c>
      <c r="E360" s="64">
        <f>IFERROR(Data!L360/Data!K360,0)</f>
        <v/>
      </c>
      <c r="F360" s="65">
        <f>Data!F360-Data!E360</f>
        <v/>
      </c>
      <c r="G360" s="21">
        <f>IFERROR(Data!G360/Data!F360,0)</f>
        <v/>
      </c>
      <c r="H360" s="22">
        <f>IF(ABS(G360-Data!I360)&lt;Summary!$B$4,"OK","CHECK")</f>
        <v/>
      </c>
      <c r="I360" s="1" t="n"/>
      <c r="J360" s="1" t="n"/>
    </row>
    <row r="361">
      <c r="A361" s="17">
        <f>Data!A361</f>
        <v/>
      </c>
      <c r="B361" s="63">
        <f>Data!B361</f>
        <v/>
      </c>
      <c r="C361" s="17">
        <f>Data!D361</f>
        <v/>
      </c>
      <c r="D361" s="64">
        <f>IFERROR(Data!G361/Data!H361,0)</f>
        <v/>
      </c>
      <c r="E361" s="64">
        <f>IFERROR(Data!L361/Data!K361,0)</f>
        <v/>
      </c>
      <c r="F361" s="65">
        <f>Data!F361-Data!E361</f>
        <v/>
      </c>
      <c r="G361" s="21">
        <f>IFERROR(Data!G361/Data!F361,0)</f>
        <v/>
      </c>
      <c r="H361" s="22">
        <f>IF(ABS(G361-Data!I361)&lt;Summary!$B$4,"OK","CHECK")</f>
        <v/>
      </c>
      <c r="I361" s="1" t="n"/>
      <c r="J361" s="1" t="n"/>
    </row>
    <row r="362">
      <c r="A362" s="17">
        <f>Data!A362</f>
        <v/>
      </c>
      <c r="B362" s="63">
        <f>Data!B362</f>
        <v/>
      </c>
      <c r="C362" s="17">
        <f>Data!D362</f>
        <v/>
      </c>
      <c r="D362" s="64">
        <f>IFERROR(Data!G362/Data!H362,0)</f>
        <v/>
      </c>
      <c r="E362" s="64">
        <f>IFERROR(Data!L362/Data!K362,0)</f>
        <v/>
      </c>
      <c r="F362" s="65">
        <f>Data!F362-Data!E362</f>
        <v/>
      </c>
      <c r="G362" s="21">
        <f>IFERROR(Data!G362/Data!F362,0)</f>
        <v/>
      </c>
      <c r="H362" s="22">
        <f>IF(ABS(G362-Data!I362)&lt;Summary!$B$4,"OK","CHECK")</f>
        <v/>
      </c>
      <c r="I362" s="1" t="n"/>
      <c r="J362" s="1" t="n"/>
    </row>
    <row r="363">
      <c r="A363" s="17">
        <f>Data!A363</f>
        <v/>
      </c>
      <c r="B363" s="63">
        <f>Data!B363</f>
        <v/>
      </c>
      <c r="C363" s="17">
        <f>Data!D363</f>
        <v/>
      </c>
      <c r="D363" s="64">
        <f>IFERROR(Data!G363/Data!H363,0)</f>
        <v/>
      </c>
      <c r="E363" s="64">
        <f>IFERROR(Data!L363/Data!K363,0)</f>
        <v/>
      </c>
      <c r="F363" s="65">
        <f>Data!F363-Data!E363</f>
        <v/>
      </c>
      <c r="G363" s="21">
        <f>IFERROR(Data!G363/Data!F363,0)</f>
        <v/>
      </c>
      <c r="H363" s="22">
        <f>IF(ABS(G363-Data!I363)&lt;Summary!$B$4,"OK","CHECK")</f>
        <v/>
      </c>
      <c r="I363" s="1" t="n"/>
      <c r="J363" s="1" t="n"/>
    </row>
    <row r="364">
      <c r="A364" s="17">
        <f>Data!A364</f>
        <v/>
      </c>
      <c r="B364" s="63">
        <f>Data!B364</f>
        <v/>
      </c>
      <c r="C364" s="17">
        <f>Data!D364</f>
        <v/>
      </c>
      <c r="D364" s="64">
        <f>IFERROR(Data!G364/Data!H364,0)</f>
        <v/>
      </c>
      <c r="E364" s="64">
        <f>IFERROR(Data!L364/Data!K364,0)</f>
        <v/>
      </c>
      <c r="F364" s="65">
        <f>Data!F364-Data!E364</f>
        <v/>
      </c>
      <c r="G364" s="21">
        <f>IFERROR(Data!G364/Data!F364,0)</f>
        <v/>
      </c>
      <c r="H364" s="22">
        <f>IF(ABS(G364-Data!I364)&lt;Summary!$B$4,"OK","CHECK")</f>
        <v/>
      </c>
      <c r="I364" s="1" t="n"/>
      <c r="J364" s="1" t="n"/>
    </row>
    <row r="365">
      <c r="A365" s="17">
        <f>Data!A365</f>
        <v/>
      </c>
      <c r="B365" s="63">
        <f>Data!B365</f>
        <v/>
      </c>
      <c r="C365" s="17">
        <f>Data!D365</f>
        <v/>
      </c>
      <c r="D365" s="64">
        <f>IFERROR(Data!G365/Data!H365,0)</f>
        <v/>
      </c>
      <c r="E365" s="64">
        <f>IFERROR(Data!L365/Data!K365,0)</f>
        <v/>
      </c>
      <c r="F365" s="65">
        <f>Data!F365-Data!E365</f>
        <v/>
      </c>
      <c r="G365" s="21">
        <f>IFERROR(Data!G365/Data!F365,0)</f>
        <v/>
      </c>
      <c r="H365" s="22">
        <f>IF(ABS(G365-Data!I365)&lt;Summary!$B$4,"OK","CHECK")</f>
        <v/>
      </c>
      <c r="I365" s="1" t="n"/>
      <c r="J365" s="1" t="n"/>
    </row>
    <row r="366">
      <c r="A366" s="17">
        <f>Data!A366</f>
        <v/>
      </c>
      <c r="B366" s="63">
        <f>Data!B366</f>
        <v/>
      </c>
      <c r="C366" s="17">
        <f>Data!D366</f>
        <v/>
      </c>
      <c r="D366" s="64">
        <f>IFERROR(Data!G366/Data!H366,0)</f>
        <v/>
      </c>
      <c r="E366" s="64">
        <f>IFERROR(Data!L366/Data!K366,0)</f>
        <v/>
      </c>
      <c r="F366" s="65">
        <f>Data!F366-Data!E366</f>
        <v/>
      </c>
      <c r="G366" s="21">
        <f>IFERROR(Data!G366/Data!F366,0)</f>
        <v/>
      </c>
      <c r="H366" s="22">
        <f>IF(ABS(G366-Data!I366)&lt;Summary!$B$4,"OK","CHECK")</f>
        <v/>
      </c>
      <c r="I366" s="1" t="n"/>
      <c r="J366" s="1" t="n"/>
    </row>
    <row r="367">
      <c r="A367" s="17">
        <f>Data!A367</f>
        <v/>
      </c>
      <c r="B367" s="63">
        <f>Data!B367</f>
        <v/>
      </c>
      <c r="C367" s="17">
        <f>Data!D367</f>
        <v/>
      </c>
      <c r="D367" s="64">
        <f>IFERROR(Data!G367/Data!H367,0)</f>
        <v/>
      </c>
      <c r="E367" s="64">
        <f>IFERROR(Data!L367/Data!K367,0)</f>
        <v/>
      </c>
      <c r="F367" s="65">
        <f>Data!F367-Data!E367</f>
        <v/>
      </c>
      <c r="G367" s="21">
        <f>IFERROR(Data!G367/Data!F367,0)</f>
        <v/>
      </c>
      <c r="H367" s="22">
        <f>IF(ABS(G367-Data!I367)&lt;Summary!$B$4,"OK","CHECK")</f>
        <v/>
      </c>
      <c r="I367" s="1" t="n"/>
      <c r="J367" s="1" t="n"/>
    </row>
    <row r="368">
      <c r="A368" s="17">
        <f>Data!A368</f>
        <v/>
      </c>
      <c r="B368" s="63">
        <f>Data!B368</f>
        <v/>
      </c>
      <c r="C368" s="17">
        <f>Data!D368</f>
        <v/>
      </c>
      <c r="D368" s="64">
        <f>IFERROR(Data!G368/Data!H368,0)</f>
        <v/>
      </c>
      <c r="E368" s="64">
        <f>IFERROR(Data!L368/Data!K368,0)</f>
        <v/>
      </c>
      <c r="F368" s="65">
        <f>Data!F368-Data!E368</f>
        <v/>
      </c>
      <c r="G368" s="21">
        <f>IFERROR(Data!G368/Data!F368,0)</f>
        <v/>
      </c>
      <c r="H368" s="22">
        <f>IF(ABS(G368-Data!I368)&lt;Summary!$B$4,"OK","CHECK")</f>
        <v/>
      </c>
      <c r="I368" s="1" t="n"/>
      <c r="J368" s="1" t="n"/>
    </row>
    <row r="369">
      <c r="A369" s="17">
        <f>Data!A369</f>
        <v/>
      </c>
      <c r="B369" s="63">
        <f>Data!B369</f>
        <v/>
      </c>
      <c r="C369" s="17">
        <f>Data!D369</f>
        <v/>
      </c>
      <c r="D369" s="64">
        <f>IFERROR(Data!G369/Data!H369,0)</f>
        <v/>
      </c>
      <c r="E369" s="64">
        <f>IFERROR(Data!L369/Data!K369,0)</f>
        <v/>
      </c>
      <c r="F369" s="65">
        <f>Data!F369-Data!E369</f>
        <v/>
      </c>
      <c r="G369" s="21">
        <f>IFERROR(Data!G369/Data!F369,0)</f>
        <v/>
      </c>
      <c r="H369" s="22">
        <f>IF(ABS(G369-Data!I369)&lt;Summary!$B$4,"OK","CHECK")</f>
        <v/>
      </c>
      <c r="I369" s="1" t="n"/>
      <c r="J369" s="1" t="n"/>
    </row>
    <row r="370">
      <c r="A370" s="17">
        <f>Data!A370</f>
        <v/>
      </c>
      <c r="B370" s="63">
        <f>Data!B370</f>
        <v/>
      </c>
      <c r="C370" s="17">
        <f>Data!D370</f>
        <v/>
      </c>
      <c r="D370" s="64">
        <f>IFERROR(Data!G370/Data!H370,0)</f>
        <v/>
      </c>
      <c r="E370" s="64">
        <f>IFERROR(Data!L370/Data!K370,0)</f>
        <v/>
      </c>
      <c r="F370" s="65">
        <f>Data!F370-Data!E370</f>
        <v/>
      </c>
      <c r="G370" s="21">
        <f>IFERROR(Data!G370/Data!F370,0)</f>
        <v/>
      </c>
      <c r="H370" s="22">
        <f>IF(ABS(G370-Data!I370)&lt;Summary!$B$4,"OK","CHECK")</f>
        <v/>
      </c>
      <c r="I370" s="1" t="n"/>
      <c r="J370" s="1" t="n"/>
    </row>
    <row r="371">
      <c r="A371" s="17">
        <f>Data!A371</f>
        <v/>
      </c>
      <c r="B371" s="63">
        <f>Data!B371</f>
        <v/>
      </c>
      <c r="C371" s="17">
        <f>Data!D371</f>
        <v/>
      </c>
      <c r="D371" s="64">
        <f>IFERROR(Data!G371/Data!H371,0)</f>
        <v/>
      </c>
      <c r="E371" s="64">
        <f>IFERROR(Data!L371/Data!K371,0)</f>
        <v/>
      </c>
      <c r="F371" s="65">
        <f>Data!F371-Data!E371</f>
        <v/>
      </c>
      <c r="G371" s="21">
        <f>IFERROR(Data!G371/Data!F371,0)</f>
        <v/>
      </c>
      <c r="H371" s="22">
        <f>IF(ABS(G371-Data!I371)&lt;Summary!$B$4,"OK","CHECK")</f>
        <v/>
      </c>
      <c r="I371" s="1" t="n"/>
      <c r="J371" s="1" t="n"/>
    </row>
    <row r="372">
      <c r="A372" s="17">
        <f>Data!A372</f>
        <v/>
      </c>
      <c r="B372" s="63">
        <f>Data!B372</f>
        <v/>
      </c>
      <c r="C372" s="17">
        <f>Data!D372</f>
        <v/>
      </c>
      <c r="D372" s="64">
        <f>IFERROR(Data!G372/Data!H372,0)</f>
        <v/>
      </c>
      <c r="E372" s="64">
        <f>IFERROR(Data!L372/Data!K372,0)</f>
        <v/>
      </c>
      <c r="F372" s="65">
        <f>Data!F372-Data!E372</f>
        <v/>
      </c>
      <c r="G372" s="21">
        <f>IFERROR(Data!G372/Data!F372,0)</f>
        <v/>
      </c>
      <c r="H372" s="22">
        <f>IF(ABS(G372-Data!I372)&lt;Summary!$B$4,"OK","CHECK")</f>
        <v/>
      </c>
      <c r="I372" s="1" t="n"/>
      <c r="J372" s="1" t="n"/>
    </row>
    <row r="373">
      <c r="A373" s="17">
        <f>Data!A373</f>
        <v/>
      </c>
      <c r="B373" s="63">
        <f>Data!B373</f>
        <v/>
      </c>
      <c r="C373" s="17">
        <f>Data!D373</f>
        <v/>
      </c>
      <c r="D373" s="64">
        <f>IFERROR(Data!G373/Data!H373,0)</f>
        <v/>
      </c>
      <c r="E373" s="64">
        <f>IFERROR(Data!L373/Data!K373,0)</f>
        <v/>
      </c>
      <c r="F373" s="65">
        <f>Data!F373-Data!E373</f>
        <v/>
      </c>
      <c r="G373" s="21">
        <f>IFERROR(Data!G373/Data!F373,0)</f>
        <v/>
      </c>
      <c r="H373" s="22">
        <f>IF(ABS(G373-Data!I373)&lt;Summary!$B$4,"OK","CHECK")</f>
        <v/>
      </c>
      <c r="I373" s="1" t="n"/>
      <c r="J373" s="1" t="n"/>
    </row>
    <row r="374">
      <c r="A374" s="17">
        <f>Data!A374</f>
        <v/>
      </c>
      <c r="B374" s="63">
        <f>Data!B374</f>
        <v/>
      </c>
      <c r="C374" s="17">
        <f>Data!D374</f>
        <v/>
      </c>
      <c r="D374" s="64">
        <f>IFERROR(Data!G374/Data!H374,0)</f>
        <v/>
      </c>
      <c r="E374" s="64">
        <f>IFERROR(Data!L374/Data!K374,0)</f>
        <v/>
      </c>
      <c r="F374" s="65">
        <f>Data!F374-Data!E374</f>
        <v/>
      </c>
      <c r="G374" s="21">
        <f>IFERROR(Data!G374/Data!F374,0)</f>
        <v/>
      </c>
      <c r="H374" s="22">
        <f>IF(ABS(G374-Data!I374)&lt;Summary!$B$4,"OK","CHECK")</f>
        <v/>
      </c>
      <c r="I374" s="1" t="n"/>
      <c r="J374" s="1" t="n"/>
    </row>
    <row r="375">
      <c r="A375" s="17">
        <f>Data!A375</f>
        <v/>
      </c>
      <c r="B375" s="63">
        <f>Data!B375</f>
        <v/>
      </c>
      <c r="C375" s="17">
        <f>Data!D375</f>
        <v/>
      </c>
      <c r="D375" s="64">
        <f>IFERROR(Data!G375/Data!H375,0)</f>
        <v/>
      </c>
      <c r="E375" s="64">
        <f>IFERROR(Data!L375/Data!K375,0)</f>
        <v/>
      </c>
      <c r="F375" s="65">
        <f>Data!F375-Data!E375</f>
        <v/>
      </c>
      <c r="G375" s="21">
        <f>IFERROR(Data!G375/Data!F375,0)</f>
        <v/>
      </c>
      <c r="H375" s="22">
        <f>IF(ABS(G375-Data!I375)&lt;Summary!$B$4,"OK","CHECK")</f>
        <v/>
      </c>
      <c r="I375" s="1" t="n"/>
      <c r="J375" s="1" t="n"/>
    </row>
    <row r="376">
      <c r="A376" s="17">
        <f>Data!A376</f>
        <v/>
      </c>
      <c r="B376" s="63">
        <f>Data!B376</f>
        <v/>
      </c>
      <c r="C376" s="17">
        <f>Data!D376</f>
        <v/>
      </c>
      <c r="D376" s="64">
        <f>IFERROR(Data!G376/Data!H376,0)</f>
        <v/>
      </c>
      <c r="E376" s="64">
        <f>IFERROR(Data!L376/Data!K376,0)</f>
        <v/>
      </c>
      <c r="F376" s="65">
        <f>Data!F376-Data!E376</f>
        <v/>
      </c>
      <c r="G376" s="21">
        <f>IFERROR(Data!G376/Data!F376,0)</f>
        <v/>
      </c>
      <c r="H376" s="22">
        <f>IF(ABS(G376-Data!I376)&lt;Summary!$B$4,"OK","CHECK")</f>
        <v/>
      </c>
      <c r="I376" s="1" t="n"/>
      <c r="J376" s="1" t="n"/>
    </row>
    <row r="377">
      <c r="A377" s="17">
        <f>Data!A377</f>
        <v/>
      </c>
      <c r="B377" s="63">
        <f>Data!B377</f>
        <v/>
      </c>
      <c r="C377" s="17">
        <f>Data!D377</f>
        <v/>
      </c>
      <c r="D377" s="64">
        <f>IFERROR(Data!G377/Data!H377,0)</f>
        <v/>
      </c>
      <c r="E377" s="64">
        <f>IFERROR(Data!L377/Data!K377,0)</f>
        <v/>
      </c>
      <c r="F377" s="65">
        <f>Data!F377-Data!E377</f>
        <v/>
      </c>
      <c r="G377" s="21">
        <f>IFERROR(Data!G377/Data!F377,0)</f>
        <v/>
      </c>
      <c r="H377" s="22">
        <f>IF(ABS(G377-Data!I377)&lt;Summary!$B$4,"OK","CHECK")</f>
        <v/>
      </c>
      <c r="I377" s="1" t="n"/>
      <c r="J377" s="1" t="n"/>
    </row>
    <row r="378">
      <c r="A378" s="17">
        <f>Data!A378</f>
        <v/>
      </c>
      <c r="B378" s="63">
        <f>Data!B378</f>
        <v/>
      </c>
      <c r="C378" s="17">
        <f>Data!D378</f>
        <v/>
      </c>
      <c r="D378" s="64">
        <f>IFERROR(Data!G378/Data!H378,0)</f>
        <v/>
      </c>
      <c r="E378" s="64">
        <f>IFERROR(Data!L378/Data!K378,0)</f>
        <v/>
      </c>
      <c r="F378" s="65">
        <f>Data!F378-Data!E378</f>
        <v/>
      </c>
      <c r="G378" s="21">
        <f>IFERROR(Data!G378/Data!F378,0)</f>
        <v/>
      </c>
      <c r="H378" s="22">
        <f>IF(ABS(G378-Data!I378)&lt;Summary!$B$4,"OK","CHECK")</f>
        <v/>
      </c>
      <c r="I378" s="1" t="n"/>
      <c r="J378" s="1" t="n"/>
    </row>
    <row r="379">
      <c r="A379" s="17">
        <f>Data!A379</f>
        <v/>
      </c>
      <c r="B379" s="63">
        <f>Data!B379</f>
        <v/>
      </c>
      <c r="C379" s="17">
        <f>Data!D379</f>
        <v/>
      </c>
      <c r="D379" s="64">
        <f>IFERROR(Data!G379/Data!H379,0)</f>
        <v/>
      </c>
      <c r="E379" s="64">
        <f>IFERROR(Data!L379/Data!K379,0)</f>
        <v/>
      </c>
      <c r="F379" s="65">
        <f>Data!F379-Data!E379</f>
        <v/>
      </c>
      <c r="G379" s="21">
        <f>IFERROR(Data!G379/Data!F379,0)</f>
        <v/>
      </c>
      <c r="H379" s="22">
        <f>IF(ABS(G379-Data!I379)&lt;Summary!$B$4,"OK","CHECK")</f>
        <v/>
      </c>
      <c r="I379" s="1" t="n"/>
      <c r="J379" s="1" t="n"/>
    </row>
    <row r="380">
      <c r="A380" s="17">
        <f>Data!A380</f>
        <v/>
      </c>
      <c r="B380" s="63">
        <f>Data!B380</f>
        <v/>
      </c>
      <c r="C380" s="17">
        <f>Data!D380</f>
        <v/>
      </c>
      <c r="D380" s="64">
        <f>IFERROR(Data!G380/Data!H380,0)</f>
        <v/>
      </c>
      <c r="E380" s="64">
        <f>IFERROR(Data!L380/Data!K380,0)</f>
        <v/>
      </c>
      <c r="F380" s="65">
        <f>Data!F380-Data!E380</f>
        <v/>
      </c>
      <c r="G380" s="21">
        <f>IFERROR(Data!G380/Data!F380,0)</f>
        <v/>
      </c>
      <c r="H380" s="22">
        <f>IF(ABS(G380-Data!I380)&lt;Summary!$B$4,"OK","CHECK")</f>
        <v/>
      </c>
      <c r="I380" s="1" t="n"/>
      <c r="J380" s="1" t="n"/>
    </row>
    <row r="381">
      <c r="A381" s="17">
        <f>Data!A381</f>
        <v/>
      </c>
      <c r="B381" s="63">
        <f>Data!B381</f>
        <v/>
      </c>
      <c r="C381" s="17">
        <f>Data!D381</f>
        <v/>
      </c>
      <c r="D381" s="64">
        <f>IFERROR(Data!G381/Data!H381,0)</f>
        <v/>
      </c>
      <c r="E381" s="64">
        <f>IFERROR(Data!L381/Data!K381,0)</f>
        <v/>
      </c>
      <c r="F381" s="65">
        <f>Data!F381-Data!E381</f>
        <v/>
      </c>
      <c r="G381" s="21">
        <f>IFERROR(Data!G381/Data!F381,0)</f>
        <v/>
      </c>
      <c r="H381" s="22">
        <f>IF(ABS(G381-Data!I381)&lt;Summary!$B$4,"OK","CHECK")</f>
        <v/>
      </c>
      <c r="I381" s="1" t="n"/>
      <c r="J381" s="1" t="n"/>
    </row>
    <row r="382">
      <c r="A382" s="17">
        <f>Data!A382</f>
        <v/>
      </c>
      <c r="B382" s="63">
        <f>Data!B382</f>
        <v/>
      </c>
      <c r="C382" s="17">
        <f>Data!D382</f>
        <v/>
      </c>
      <c r="D382" s="64">
        <f>IFERROR(Data!G382/Data!H382,0)</f>
        <v/>
      </c>
      <c r="E382" s="64">
        <f>IFERROR(Data!L382/Data!K382,0)</f>
        <v/>
      </c>
      <c r="F382" s="65">
        <f>Data!F382-Data!E382</f>
        <v/>
      </c>
      <c r="G382" s="21">
        <f>IFERROR(Data!G382/Data!F382,0)</f>
        <v/>
      </c>
      <c r="H382" s="22">
        <f>IF(ABS(G382-Data!I382)&lt;Summary!$B$4,"OK","CHECK")</f>
        <v/>
      </c>
      <c r="I382" s="1" t="n"/>
      <c r="J382" s="1" t="n"/>
    </row>
    <row r="383">
      <c r="A383" s="17">
        <f>Data!A383</f>
        <v/>
      </c>
      <c r="B383" s="63">
        <f>Data!B383</f>
        <v/>
      </c>
      <c r="C383" s="17">
        <f>Data!D383</f>
        <v/>
      </c>
      <c r="D383" s="64">
        <f>IFERROR(Data!G383/Data!H383,0)</f>
        <v/>
      </c>
      <c r="E383" s="64">
        <f>IFERROR(Data!L383/Data!K383,0)</f>
        <v/>
      </c>
      <c r="F383" s="65">
        <f>Data!F383-Data!E383</f>
        <v/>
      </c>
      <c r="G383" s="21">
        <f>IFERROR(Data!G383/Data!F383,0)</f>
        <v/>
      </c>
      <c r="H383" s="22">
        <f>IF(ABS(G383-Data!I383)&lt;Summary!$B$4,"OK","CHECK")</f>
        <v/>
      </c>
      <c r="I383" s="1" t="n"/>
      <c r="J383" s="1" t="n"/>
    </row>
    <row r="384">
      <c r="A384" s="17">
        <f>Data!A384</f>
        <v/>
      </c>
      <c r="B384" s="63">
        <f>Data!B384</f>
        <v/>
      </c>
      <c r="C384" s="17">
        <f>Data!D384</f>
        <v/>
      </c>
      <c r="D384" s="64">
        <f>IFERROR(Data!G384/Data!H384,0)</f>
        <v/>
      </c>
      <c r="E384" s="64">
        <f>IFERROR(Data!L384/Data!K384,0)</f>
        <v/>
      </c>
      <c r="F384" s="65">
        <f>Data!F384-Data!E384</f>
        <v/>
      </c>
      <c r="G384" s="21">
        <f>IFERROR(Data!G384/Data!F384,0)</f>
        <v/>
      </c>
      <c r="H384" s="22">
        <f>IF(ABS(G384-Data!I384)&lt;Summary!$B$4,"OK","CHECK")</f>
        <v/>
      </c>
      <c r="I384" s="1" t="n"/>
      <c r="J384" s="1" t="n"/>
    </row>
    <row r="385">
      <c r="A385" s="17">
        <f>Data!A385</f>
        <v/>
      </c>
      <c r="B385" s="63">
        <f>Data!B385</f>
        <v/>
      </c>
      <c r="C385" s="17">
        <f>Data!D385</f>
        <v/>
      </c>
      <c r="D385" s="64">
        <f>IFERROR(Data!G385/Data!H385,0)</f>
        <v/>
      </c>
      <c r="E385" s="64">
        <f>IFERROR(Data!L385/Data!K385,0)</f>
        <v/>
      </c>
      <c r="F385" s="65">
        <f>Data!F385-Data!E385</f>
        <v/>
      </c>
      <c r="G385" s="21">
        <f>IFERROR(Data!G385/Data!F385,0)</f>
        <v/>
      </c>
      <c r="H385" s="22">
        <f>IF(ABS(G385-Data!I385)&lt;Summary!$B$4,"OK","CHECK")</f>
        <v/>
      </c>
      <c r="I385" s="1" t="n"/>
      <c r="J385" s="1" t="n"/>
    </row>
    <row r="386">
      <c r="A386" s="17">
        <f>Data!A386</f>
        <v/>
      </c>
      <c r="B386" s="63">
        <f>Data!B386</f>
        <v/>
      </c>
      <c r="C386" s="17">
        <f>Data!D386</f>
        <v/>
      </c>
      <c r="D386" s="64">
        <f>IFERROR(Data!G386/Data!H386,0)</f>
        <v/>
      </c>
      <c r="E386" s="64">
        <f>IFERROR(Data!L386/Data!K386,0)</f>
        <v/>
      </c>
      <c r="F386" s="65">
        <f>Data!F386-Data!E386</f>
        <v/>
      </c>
      <c r="G386" s="21">
        <f>IFERROR(Data!G386/Data!F386,0)</f>
        <v/>
      </c>
      <c r="H386" s="22">
        <f>IF(ABS(G386-Data!I386)&lt;Summary!$B$4,"OK","CHECK")</f>
        <v/>
      </c>
      <c r="I386" s="1" t="n"/>
      <c r="J386" s="1" t="n"/>
    </row>
    <row r="387">
      <c r="A387" s="17">
        <f>Data!A387</f>
        <v/>
      </c>
      <c r="B387" s="63">
        <f>Data!B387</f>
        <v/>
      </c>
      <c r="C387" s="17">
        <f>Data!D387</f>
        <v/>
      </c>
      <c r="D387" s="64">
        <f>IFERROR(Data!G387/Data!H387,0)</f>
        <v/>
      </c>
      <c r="E387" s="64">
        <f>IFERROR(Data!L387/Data!K387,0)</f>
        <v/>
      </c>
      <c r="F387" s="65">
        <f>Data!F387-Data!E387</f>
        <v/>
      </c>
      <c r="G387" s="21">
        <f>IFERROR(Data!G387/Data!F387,0)</f>
        <v/>
      </c>
      <c r="H387" s="22">
        <f>IF(ABS(G387-Data!I387)&lt;Summary!$B$4,"OK","CHECK")</f>
        <v/>
      </c>
      <c r="I387" s="1" t="n"/>
      <c r="J387" s="1" t="n"/>
    </row>
    <row r="388">
      <c r="A388" s="17">
        <f>Data!A388</f>
        <v/>
      </c>
      <c r="B388" s="63">
        <f>Data!B388</f>
        <v/>
      </c>
      <c r="C388" s="17">
        <f>Data!D388</f>
        <v/>
      </c>
      <c r="D388" s="64">
        <f>IFERROR(Data!G388/Data!H388,0)</f>
        <v/>
      </c>
      <c r="E388" s="64">
        <f>IFERROR(Data!L388/Data!K388,0)</f>
        <v/>
      </c>
      <c r="F388" s="65">
        <f>Data!F388-Data!E388</f>
        <v/>
      </c>
      <c r="G388" s="21">
        <f>IFERROR(Data!G388/Data!F388,0)</f>
        <v/>
      </c>
      <c r="H388" s="22">
        <f>IF(ABS(G388-Data!I388)&lt;Summary!$B$4,"OK","CHECK")</f>
        <v/>
      </c>
      <c r="I388" s="1" t="n"/>
      <c r="J388" s="1" t="n"/>
    </row>
    <row r="389">
      <c r="A389" s="17">
        <f>Data!A389</f>
        <v/>
      </c>
      <c r="B389" s="63">
        <f>Data!B389</f>
        <v/>
      </c>
      <c r="C389" s="17">
        <f>Data!D389</f>
        <v/>
      </c>
      <c r="D389" s="64">
        <f>IFERROR(Data!G389/Data!H389,0)</f>
        <v/>
      </c>
      <c r="E389" s="64">
        <f>IFERROR(Data!L389/Data!K389,0)</f>
        <v/>
      </c>
      <c r="F389" s="65">
        <f>Data!F389-Data!E389</f>
        <v/>
      </c>
      <c r="G389" s="21">
        <f>IFERROR(Data!G389/Data!F389,0)</f>
        <v/>
      </c>
      <c r="H389" s="22">
        <f>IF(ABS(G389-Data!I389)&lt;Summary!$B$4,"OK","CHECK")</f>
        <v/>
      </c>
      <c r="I389" s="1" t="n"/>
      <c r="J389" s="1" t="n"/>
    </row>
    <row r="390">
      <c r="A390" s="17">
        <f>Data!A390</f>
        <v/>
      </c>
      <c r="B390" s="63">
        <f>Data!B390</f>
        <v/>
      </c>
      <c r="C390" s="17">
        <f>Data!D390</f>
        <v/>
      </c>
      <c r="D390" s="64">
        <f>IFERROR(Data!G390/Data!H390,0)</f>
        <v/>
      </c>
      <c r="E390" s="64">
        <f>IFERROR(Data!L390/Data!K390,0)</f>
        <v/>
      </c>
      <c r="F390" s="65">
        <f>Data!F390-Data!E390</f>
        <v/>
      </c>
      <c r="G390" s="21">
        <f>IFERROR(Data!G390/Data!F390,0)</f>
        <v/>
      </c>
      <c r="H390" s="22">
        <f>IF(ABS(G390-Data!I390)&lt;Summary!$B$4,"OK","CHECK")</f>
        <v/>
      </c>
      <c r="I390" s="1" t="n"/>
      <c r="J390" s="1" t="n"/>
    </row>
    <row r="391">
      <c r="A391" s="17">
        <f>Data!A391</f>
        <v/>
      </c>
      <c r="B391" s="63">
        <f>Data!B391</f>
        <v/>
      </c>
      <c r="C391" s="17">
        <f>Data!D391</f>
        <v/>
      </c>
      <c r="D391" s="64">
        <f>IFERROR(Data!G391/Data!H391,0)</f>
        <v/>
      </c>
      <c r="E391" s="64">
        <f>IFERROR(Data!L391/Data!K391,0)</f>
        <v/>
      </c>
      <c r="F391" s="65">
        <f>Data!F391-Data!E391</f>
        <v/>
      </c>
      <c r="G391" s="21">
        <f>IFERROR(Data!G391/Data!F391,0)</f>
        <v/>
      </c>
      <c r="H391" s="22">
        <f>IF(ABS(G391-Data!I391)&lt;Summary!$B$4,"OK","CHECK")</f>
        <v/>
      </c>
      <c r="I391" s="1" t="n"/>
      <c r="J391" s="1" t="n"/>
    </row>
    <row r="392">
      <c r="A392" s="17">
        <f>Data!A392</f>
        <v/>
      </c>
      <c r="B392" s="63">
        <f>Data!B392</f>
        <v/>
      </c>
      <c r="C392" s="17">
        <f>Data!D392</f>
        <v/>
      </c>
      <c r="D392" s="64">
        <f>IFERROR(Data!G392/Data!H392,0)</f>
        <v/>
      </c>
      <c r="E392" s="64">
        <f>IFERROR(Data!L392/Data!K392,0)</f>
        <v/>
      </c>
      <c r="F392" s="65">
        <f>Data!F392-Data!E392</f>
        <v/>
      </c>
      <c r="G392" s="21">
        <f>IFERROR(Data!G392/Data!F392,0)</f>
        <v/>
      </c>
      <c r="H392" s="22">
        <f>IF(ABS(G392-Data!I392)&lt;Summary!$B$4,"OK","CHECK")</f>
        <v/>
      </c>
      <c r="I392" s="1" t="n"/>
      <c r="J392" s="1" t="n"/>
    </row>
    <row r="393">
      <c r="A393" s="17">
        <f>Data!A393</f>
        <v/>
      </c>
      <c r="B393" s="63">
        <f>Data!B393</f>
        <v/>
      </c>
      <c r="C393" s="17">
        <f>Data!D393</f>
        <v/>
      </c>
      <c r="D393" s="64">
        <f>IFERROR(Data!G393/Data!H393,0)</f>
        <v/>
      </c>
      <c r="E393" s="64">
        <f>IFERROR(Data!L393/Data!K393,0)</f>
        <v/>
      </c>
      <c r="F393" s="65">
        <f>Data!F393-Data!E393</f>
        <v/>
      </c>
      <c r="G393" s="21">
        <f>IFERROR(Data!G393/Data!F393,0)</f>
        <v/>
      </c>
      <c r="H393" s="22">
        <f>IF(ABS(G393-Data!I393)&lt;Summary!$B$4,"OK","CHECK")</f>
        <v/>
      </c>
      <c r="I393" s="1" t="n"/>
      <c r="J393" s="1" t="n"/>
    </row>
    <row r="394">
      <c r="A394" s="17">
        <f>Data!A394</f>
        <v/>
      </c>
      <c r="B394" s="63">
        <f>Data!B394</f>
        <v/>
      </c>
      <c r="C394" s="17">
        <f>Data!D394</f>
        <v/>
      </c>
      <c r="D394" s="64">
        <f>IFERROR(Data!G394/Data!H394,0)</f>
        <v/>
      </c>
      <c r="E394" s="64">
        <f>IFERROR(Data!L394/Data!K394,0)</f>
        <v/>
      </c>
      <c r="F394" s="65">
        <f>Data!F394-Data!E394</f>
        <v/>
      </c>
      <c r="G394" s="21">
        <f>IFERROR(Data!G394/Data!F394,0)</f>
        <v/>
      </c>
      <c r="H394" s="22">
        <f>IF(ABS(G394-Data!I394)&lt;Summary!$B$4,"OK","CHECK")</f>
        <v/>
      </c>
      <c r="I394" s="1" t="n"/>
      <c r="J394" s="1" t="n"/>
    </row>
    <row r="395">
      <c r="A395" s="17">
        <f>Data!A395</f>
        <v/>
      </c>
      <c r="B395" s="63">
        <f>Data!B395</f>
        <v/>
      </c>
      <c r="C395" s="17">
        <f>Data!D395</f>
        <v/>
      </c>
      <c r="D395" s="64">
        <f>IFERROR(Data!G395/Data!H395,0)</f>
        <v/>
      </c>
      <c r="E395" s="64">
        <f>IFERROR(Data!L395/Data!K395,0)</f>
        <v/>
      </c>
      <c r="F395" s="65">
        <f>Data!F395-Data!E395</f>
        <v/>
      </c>
      <c r="G395" s="21">
        <f>IFERROR(Data!G395/Data!F395,0)</f>
        <v/>
      </c>
      <c r="H395" s="22">
        <f>IF(ABS(G395-Data!I395)&lt;Summary!$B$4,"OK","CHECK")</f>
        <v/>
      </c>
      <c r="I395" s="1" t="n"/>
      <c r="J395" s="1" t="n"/>
    </row>
    <row r="396">
      <c r="A396" s="17">
        <f>Data!A396</f>
        <v/>
      </c>
      <c r="B396" s="63">
        <f>Data!B396</f>
        <v/>
      </c>
      <c r="C396" s="17">
        <f>Data!D396</f>
        <v/>
      </c>
      <c r="D396" s="64">
        <f>IFERROR(Data!G396/Data!H396,0)</f>
        <v/>
      </c>
      <c r="E396" s="64">
        <f>IFERROR(Data!L396/Data!K396,0)</f>
        <v/>
      </c>
      <c r="F396" s="65">
        <f>Data!F396-Data!E396</f>
        <v/>
      </c>
      <c r="G396" s="21">
        <f>IFERROR(Data!G396/Data!F396,0)</f>
        <v/>
      </c>
      <c r="H396" s="22">
        <f>IF(ABS(G396-Data!I396)&lt;Summary!$B$4,"OK","CHECK")</f>
        <v/>
      </c>
      <c r="I396" s="1" t="n"/>
      <c r="J396" s="1" t="n"/>
    </row>
    <row r="397">
      <c r="A397" s="17">
        <f>Data!A397</f>
        <v/>
      </c>
      <c r="B397" s="63">
        <f>Data!B397</f>
        <v/>
      </c>
      <c r="C397" s="17">
        <f>Data!D397</f>
        <v/>
      </c>
      <c r="D397" s="64">
        <f>IFERROR(Data!G397/Data!H397,0)</f>
        <v/>
      </c>
      <c r="E397" s="64">
        <f>IFERROR(Data!L397/Data!K397,0)</f>
        <v/>
      </c>
      <c r="F397" s="65">
        <f>Data!F397-Data!E397</f>
        <v/>
      </c>
      <c r="G397" s="21">
        <f>IFERROR(Data!G397/Data!F397,0)</f>
        <v/>
      </c>
      <c r="H397" s="22">
        <f>IF(ABS(G397-Data!I397)&lt;Summary!$B$4,"OK","CHECK")</f>
        <v/>
      </c>
      <c r="I397" s="1" t="n"/>
      <c r="J397" s="1" t="n"/>
    </row>
    <row r="398">
      <c r="A398" s="17">
        <f>Data!A398</f>
        <v/>
      </c>
      <c r="B398" s="63">
        <f>Data!B398</f>
        <v/>
      </c>
      <c r="C398" s="17">
        <f>Data!D398</f>
        <v/>
      </c>
      <c r="D398" s="64">
        <f>IFERROR(Data!G398/Data!H398,0)</f>
        <v/>
      </c>
      <c r="E398" s="64">
        <f>IFERROR(Data!L398/Data!K398,0)</f>
        <v/>
      </c>
      <c r="F398" s="65">
        <f>Data!F398-Data!E398</f>
        <v/>
      </c>
      <c r="G398" s="21">
        <f>IFERROR(Data!G398/Data!F398,0)</f>
        <v/>
      </c>
      <c r="H398" s="22">
        <f>IF(ABS(G398-Data!I398)&lt;Summary!$B$4,"OK","CHECK")</f>
        <v/>
      </c>
      <c r="I398" s="1" t="n"/>
      <c r="J398" s="1" t="n"/>
    </row>
    <row r="399">
      <c r="A399" s="17">
        <f>Data!A399</f>
        <v/>
      </c>
      <c r="B399" s="63">
        <f>Data!B399</f>
        <v/>
      </c>
      <c r="C399" s="17">
        <f>Data!D399</f>
        <v/>
      </c>
      <c r="D399" s="64">
        <f>IFERROR(Data!G399/Data!H399,0)</f>
        <v/>
      </c>
      <c r="E399" s="64">
        <f>IFERROR(Data!L399/Data!K399,0)</f>
        <v/>
      </c>
      <c r="F399" s="65">
        <f>Data!F399-Data!E399</f>
        <v/>
      </c>
      <c r="G399" s="21">
        <f>IFERROR(Data!G399/Data!F399,0)</f>
        <v/>
      </c>
      <c r="H399" s="22">
        <f>IF(ABS(G399-Data!I399)&lt;Summary!$B$4,"OK","CHECK")</f>
        <v/>
      </c>
      <c r="I399" s="1" t="n"/>
      <c r="J399" s="1" t="n"/>
    </row>
    <row r="400">
      <c r="A400" s="17">
        <f>Data!A400</f>
        <v/>
      </c>
      <c r="B400" s="63">
        <f>Data!B400</f>
        <v/>
      </c>
      <c r="C400" s="17">
        <f>Data!D400</f>
        <v/>
      </c>
      <c r="D400" s="64">
        <f>IFERROR(Data!G400/Data!H400,0)</f>
        <v/>
      </c>
      <c r="E400" s="64">
        <f>IFERROR(Data!L400/Data!K400,0)</f>
        <v/>
      </c>
      <c r="F400" s="65">
        <f>Data!F400-Data!E400</f>
        <v/>
      </c>
      <c r="G400" s="21">
        <f>IFERROR(Data!G400/Data!F400,0)</f>
        <v/>
      </c>
      <c r="H400" s="22">
        <f>IF(ABS(G400-Data!I400)&lt;Summary!$B$4,"OK","CHECK")</f>
        <v/>
      </c>
      <c r="I400" s="1" t="n"/>
      <c r="J400" s="1" t="n"/>
    </row>
    <row r="401">
      <c r="A401" s="17">
        <f>Data!A401</f>
        <v/>
      </c>
      <c r="B401" s="63">
        <f>Data!B401</f>
        <v/>
      </c>
      <c r="C401" s="17">
        <f>Data!D401</f>
        <v/>
      </c>
      <c r="D401" s="64">
        <f>IFERROR(Data!G401/Data!H401,0)</f>
        <v/>
      </c>
      <c r="E401" s="64">
        <f>IFERROR(Data!L401/Data!K401,0)</f>
        <v/>
      </c>
      <c r="F401" s="65">
        <f>Data!F401-Data!E401</f>
        <v/>
      </c>
      <c r="G401" s="21">
        <f>IFERROR(Data!G401/Data!F401,0)</f>
        <v/>
      </c>
      <c r="H401" s="22">
        <f>IF(ABS(G401-Data!I401)&lt;Summary!$B$4,"OK","CHECK")</f>
        <v/>
      </c>
      <c r="I401" s="1" t="n"/>
      <c r="J401" s="1" t="n"/>
    </row>
    <row r="402">
      <c r="A402" s="17">
        <f>Data!A402</f>
        <v/>
      </c>
      <c r="B402" s="63">
        <f>Data!B402</f>
        <v/>
      </c>
      <c r="C402" s="17">
        <f>Data!D402</f>
        <v/>
      </c>
      <c r="D402" s="64">
        <f>IFERROR(Data!G402/Data!H402,0)</f>
        <v/>
      </c>
      <c r="E402" s="64">
        <f>IFERROR(Data!L402/Data!K402,0)</f>
        <v/>
      </c>
      <c r="F402" s="65">
        <f>Data!F402-Data!E402</f>
        <v/>
      </c>
      <c r="G402" s="21">
        <f>IFERROR(Data!G402/Data!F402,0)</f>
        <v/>
      </c>
      <c r="H402" s="22">
        <f>IF(ABS(G402-Data!I402)&lt;Summary!$B$4,"OK","CHECK")</f>
        <v/>
      </c>
      <c r="I402" s="1" t="n"/>
      <c r="J402" s="1" t="n"/>
    </row>
    <row r="403">
      <c r="A403" s="17">
        <f>Data!A403</f>
        <v/>
      </c>
      <c r="B403" s="63">
        <f>Data!B403</f>
        <v/>
      </c>
      <c r="C403" s="17">
        <f>Data!D403</f>
        <v/>
      </c>
      <c r="D403" s="64">
        <f>IFERROR(Data!G403/Data!H403,0)</f>
        <v/>
      </c>
      <c r="E403" s="64">
        <f>IFERROR(Data!L403/Data!K403,0)</f>
        <v/>
      </c>
      <c r="F403" s="65">
        <f>Data!F403-Data!E403</f>
        <v/>
      </c>
      <c r="G403" s="21">
        <f>IFERROR(Data!G403/Data!F403,0)</f>
        <v/>
      </c>
      <c r="H403" s="22">
        <f>IF(ABS(G403-Data!I403)&lt;Summary!$B$4,"OK","CHECK")</f>
        <v/>
      </c>
      <c r="I403" s="1" t="n"/>
      <c r="J403" s="1" t="n"/>
    </row>
    <row r="404">
      <c r="A404" s="17">
        <f>Data!A404</f>
        <v/>
      </c>
      <c r="B404" s="63">
        <f>Data!B404</f>
        <v/>
      </c>
      <c r="C404" s="17">
        <f>Data!D404</f>
        <v/>
      </c>
      <c r="D404" s="64">
        <f>IFERROR(Data!G404/Data!H404,0)</f>
        <v/>
      </c>
      <c r="E404" s="64">
        <f>IFERROR(Data!L404/Data!K404,0)</f>
        <v/>
      </c>
      <c r="F404" s="65">
        <f>Data!F404-Data!E404</f>
        <v/>
      </c>
      <c r="G404" s="21">
        <f>IFERROR(Data!G404/Data!F404,0)</f>
        <v/>
      </c>
      <c r="H404" s="22">
        <f>IF(ABS(G404-Data!I404)&lt;Summary!$B$4,"OK","CHECK")</f>
        <v/>
      </c>
      <c r="I404" s="1" t="n"/>
      <c r="J404" s="1" t="n"/>
    </row>
    <row r="405">
      <c r="A405" s="17">
        <f>Data!A405</f>
        <v/>
      </c>
      <c r="B405" s="63">
        <f>Data!B405</f>
        <v/>
      </c>
      <c r="C405" s="17">
        <f>Data!D405</f>
        <v/>
      </c>
      <c r="D405" s="64">
        <f>IFERROR(Data!G405/Data!H405,0)</f>
        <v/>
      </c>
      <c r="E405" s="64">
        <f>IFERROR(Data!L405/Data!K405,0)</f>
        <v/>
      </c>
      <c r="F405" s="65">
        <f>Data!F405-Data!E405</f>
        <v/>
      </c>
      <c r="G405" s="21">
        <f>IFERROR(Data!G405/Data!F405,0)</f>
        <v/>
      </c>
      <c r="H405" s="22">
        <f>IF(ABS(G405-Data!I405)&lt;Summary!$B$4,"OK","CHECK")</f>
        <v/>
      </c>
      <c r="I405" s="1" t="n"/>
      <c r="J405" s="1" t="n"/>
    </row>
    <row r="406">
      <c r="A406" s="17">
        <f>Data!A406</f>
        <v/>
      </c>
      <c r="B406" s="63">
        <f>Data!B406</f>
        <v/>
      </c>
      <c r="C406" s="17">
        <f>Data!D406</f>
        <v/>
      </c>
      <c r="D406" s="64">
        <f>IFERROR(Data!G406/Data!H406,0)</f>
        <v/>
      </c>
      <c r="E406" s="64">
        <f>IFERROR(Data!L406/Data!K406,0)</f>
        <v/>
      </c>
      <c r="F406" s="65">
        <f>Data!F406-Data!E406</f>
        <v/>
      </c>
      <c r="G406" s="21">
        <f>IFERROR(Data!G406/Data!F406,0)</f>
        <v/>
      </c>
      <c r="H406" s="22">
        <f>IF(ABS(G406-Data!I406)&lt;Summary!$B$4,"OK","CHECK")</f>
        <v/>
      </c>
      <c r="I406" s="1" t="n"/>
      <c r="J406" s="1" t="n"/>
    </row>
    <row r="407">
      <c r="A407" s="17">
        <f>Data!A407</f>
        <v/>
      </c>
      <c r="B407" s="63">
        <f>Data!B407</f>
        <v/>
      </c>
      <c r="C407" s="17">
        <f>Data!D407</f>
        <v/>
      </c>
      <c r="D407" s="64">
        <f>IFERROR(Data!G407/Data!H407,0)</f>
        <v/>
      </c>
      <c r="E407" s="64">
        <f>IFERROR(Data!L407/Data!K407,0)</f>
        <v/>
      </c>
      <c r="F407" s="65">
        <f>Data!F407-Data!E407</f>
        <v/>
      </c>
      <c r="G407" s="21">
        <f>IFERROR(Data!G407/Data!F407,0)</f>
        <v/>
      </c>
      <c r="H407" s="22">
        <f>IF(ABS(G407-Data!I407)&lt;Summary!$B$4,"OK","CHECK")</f>
        <v/>
      </c>
      <c r="I407" s="1" t="n"/>
      <c r="J407" s="1" t="n"/>
    </row>
    <row r="408">
      <c r="A408" s="17">
        <f>Data!A408</f>
        <v/>
      </c>
      <c r="B408" s="63">
        <f>Data!B408</f>
        <v/>
      </c>
      <c r="C408" s="17">
        <f>Data!D408</f>
        <v/>
      </c>
      <c r="D408" s="64">
        <f>IFERROR(Data!G408/Data!H408,0)</f>
        <v/>
      </c>
      <c r="E408" s="64">
        <f>IFERROR(Data!L408/Data!K408,0)</f>
        <v/>
      </c>
      <c r="F408" s="65">
        <f>Data!F408-Data!E408</f>
        <v/>
      </c>
      <c r="G408" s="21">
        <f>IFERROR(Data!G408/Data!F408,0)</f>
        <v/>
      </c>
      <c r="H408" s="22">
        <f>IF(ABS(G408-Data!I408)&lt;Summary!$B$4,"OK","CHECK")</f>
        <v/>
      </c>
      <c r="I408" s="1" t="n"/>
      <c r="J408" s="1" t="n"/>
    </row>
    <row r="409">
      <c r="A409" s="17">
        <f>Data!A409</f>
        <v/>
      </c>
      <c r="B409" s="63">
        <f>Data!B409</f>
        <v/>
      </c>
      <c r="C409" s="17">
        <f>Data!D409</f>
        <v/>
      </c>
      <c r="D409" s="64">
        <f>IFERROR(Data!G409/Data!H409,0)</f>
        <v/>
      </c>
      <c r="E409" s="64">
        <f>IFERROR(Data!L409/Data!K409,0)</f>
        <v/>
      </c>
      <c r="F409" s="65">
        <f>Data!F409-Data!E409</f>
        <v/>
      </c>
      <c r="G409" s="21">
        <f>IFERROR(Data!G409/Data!F409,0)</f>
        <v/>
      </c>
      <c r="H409" s="22">
        <f>IF(ABS(G409-Data!I409)&lt;Summary!$B$4,"OK","CHECK")</f>
        <v/>
      </c>
      <c r="I409" s="1" t="n"/>
      <c r="J409" s="1" t="n"/>
    </row>
    <row r="410">
      <c r="A410" s="17">
        <f>Data!A410</f>
        <v/>
      </c>
      <c r="B410" s="63">
        <f>Data!B410</f>
        <v/>
      </c>
      <c r="C410" s="17">
        <f>Data!D410</f>
        <v/>
      </c>
      <c r="D410" s="64">
        <f>IFERROR(Data!G410/Data!H410,0)</f>
        <v/>
      </c>
      <c r="E410" s="64">
        <f>IFERROR(Data!L410/Data!K410,0)</f>
        <v/>
      </c>
      <c r="F410" s="65">
        <f>Data!F410-Data!E410</f>
        <v/>
      </c>
      <c r="G410" s="21">
        <f>IFERROR(Data!G410/Data!F410,0)</f>
        <v/>
      </c>
      <c r="H410" s="22">
        <f>IF(ABS(G410-Data!I410)&lt;Summary!$B$4,"OK","CHECK")</f>
        <v/>
      </c>
      <c r="I410" s="1" t="n"/>
      <c r="J410" s="1" t="n"/>
    </row>
    <row r="411">
      <c r="A411" s="17">
        <f>Data!A411</f>
        <v/>
      </c>
      <c r="B411" s="63">
        <f>Data!B411</f>
        <v/>
      </c>
      <c r="C411" s="17">
        <f>Data!D411</f>
        <v/>
      </c>
      <c r="D411" s="64">
        <f>IFERROR(Data!G411/Data!H411,0)</f>
        <v/>
      </c>
      <c r="E411" s="64">
        <f>IFERROR(Data!L411/Data!K411,0)</f>
        <v/>
      </c>
      <c r="F411" s="65">
        <f>Data!F411-Data!E411</f>
        <v/>
      </c>
      <c r="G411" s="21">
        <f>IFERROR(Data!G411/Data!F411,0)</f>
        <v/>
      </c>
      <c r="H411" s="22">
        <f>IF(ABS(G411-Data!I411)&lt;Summary!$B$4,"OK","CHECK")</f>
        <v/>
      </c>
      <c r="I411" s="1" t="n"/>
      <c r="J411" s="1" t="n"/>
    </row>
    <row r="412">
      <c r="A412" s="17">
        <f>Data!A412</f>
        <v/>
      </c>
      <c r="B412" s="63">
        <f>Data!B412</f>
        <v/>
      </c>
      <c r="C412" s="17">
        <f>Data!D412</f>
        <v/>
      </c>
      <c r="D412" s="64">
        <f>IFERROR(Data!G412/Data!H412,0)</f>
        <v/>
      </c>
      <c r="E412" s="64">
        <f>IFERROR(Data!L412/Data!K412,0)</f>
        <v/>
      </c>
      <c r="F412" s="65">
        <f>Data!F412-Data!E412</f>
        <v/>
      </c>
      <c r="G412" s="21">
        <f>IFERROR(Data!G412/Data!F412,0)</f>
        <v/>
      </c>
      <c r="H412" s="22">
        <f>IF(ABS(G412-Data!I412)&lt;Summary!$B$4,"OK","CHECK")</f>
        <v/>
      </c>
      <c r="I412" s="1" t="n"/>
      <c r="J412" s="1" t="n"/>
    </row>
    <row r="413">
      <c r="A413" s="17">
        <f>Data!A413</f>
        <v/>
      </c>
      <c r="B413" s="63">
        <f>Data!B413</f>
        <v/>
      </c>
      <c r="C413" s="17">
        <f>Data!D413</f>
        <v/>
      </c>
      <c r="D413" s="64">
        <f>IFERROR(Data!G413/Data!H413,0)</f>
        <v/>
      </c>
      <c r="E413" s="64">
        <f>IFERROR(Data!L413/Data!K413,0)</f>
        <v/>
      </c>
      <c r="F413" s="65">
        <f>Data!F413-Data!E413</f>
        <v/>
      </c>
      <c r="G413" s="21">
        <f>IFERROR(Data!G413/Data!F413,0)</f>
        <v/>
      </c>
      <c r="H413" s="22">
        <f>IF(ABS(G413-Data!I413)&lt;Summary!$B$4,"OK","CHECK")</f>
        <v/>
      </c>
      <c r="I413" s="1" t="n"/>
      <c r="J413" s="1" t="n"/>
    </row>
    <row r="414">
      <c r="A414" s="17">
        <f>Data!A414</f>
        <v/>
      </c>
      <c r="B414" s="63">
        <f>Data!B414</f>
        <v/>
      </c>
      <c r="C414" s="17">
        <f>Data!D414</f>
        <v/>
      </c>
      <c r="D414" s="64">
        <f>IFERROR(Data!G414/Data!H414,0)</f>
        <v/>
      </c>
      <c r="E414" s="64">
        <f>IFERROR(Data!L414/Data!K414,0)</f>
        <v/>
      </c>
      <c r="F414" s="65">
        <f>Data!F414-Data!E414</f>
        <v/>
      </c>
      <c r="G414" s="21">
        <f>IFERROR(Data!G414/Data!F414,0)</f>
        <v/>
      </c>
      <c r="H414" s="22">
        <f>IF(ABS(G414-Data!I414)&lt;Summary!$B$4,"OK","CHECK")</f>
        <v/>
      </c>
      <c r="I414" s="1" t="n"/>
      <c r="J414" s="1" t="n"/>
    </row>
    <row r="415">
      <c r="A415" s="17">
        <f>Data!A415</f>
        <v/>
      </c>
      <c r="B415" s="63">
        <f>Data!B415</f>
        <v/>
      </c>
      <c r="C415" s="17">
        <f>Data!D415</f>
        <v/>
      </c>
      <c r="D415" s="64">
        <f>IFERROR(Data!G415/Data!H415,0)</f>
        <v/>
      </c>
      <c r="E415" s="64">
        <f>IFERROR(Data!L415/Data!K415,0)</f>
        <v/>
      </c>
      <c r="F415" s="65">
        <f>Data!F415-Data!E415</f>
        <v/>
      </c>
      <c r="G415" s="21">
        <f>IFERROR(Data!G415/Data!F415,0)</f>
        <v/>
      </c>
      <c r="H415" s="22">
        <f>IF(ABS(G415-Data!I415)&lt;Summary!$B$4,"OK","CHECK")</f>
        <v/>
      </c>
      <c r="I415" s="1" t="n"/>
      <c r="J415" s="1" t="n"/>
    </row>
    <row r="416">
      <c r="A416" s="17">
        <f>Data!A416</f>
        <v/>
      </c>
      <c r="B416" s="63">
        <f>Data!B416</f>
        <v/>
      </c>
      <c r="C416" s="17">
        <f>Data!D416</f>
        <v/>
      </c>
      <c r="D416" s="64">
        <f>IFERROR(Data!G416/Data!H416,0)</f>
        <v/>
      </c>
      <c r="E416" s="64">
        <f>IFERROR(Data!L416/Data!K416,0)</f>
        <v/>
      </c>
      <c r="F416" s="65">
        <f>Data!F416-Data!E416</f>
        <v/>
      </c>
      <c r="G416" s="21">
        <f>IFERROR(Data!G416/Data!F416,0)</f>
        <v/>
      </c>
      <c r="H416" s="22">
        <f>IF(ABS(G416-Data!I416)&lt;Summary!$B$4,"OK","CHECK")</f>
        <v/>
      </c>
      <c r="I416" s="1" t="n"/>
      <c r="J416" s="1" t="n"/>
    </row>
    <row r="417">
      <c r="A417" s="17">
        <f>Data!A417</f>
        <v/>
      </c>
      <c r="B417" s="63">
        <f>Data!B417</f>
        <v/>
      </c>
      <c r="C417" s="17">
        <f>Data!D417</f>
        <v/>
      </c>
      <c r="D417" s="64">
        <f>IFERROR(Data!G417/Data!H417,0)</f>
        <v/>
      </c>
      <c r="E417" s="64">
        <f>IFERROR(Data!L417/Data!K417,0)</f>
        <v/>
      </c>
      <c r="F417" s="65">
        <f>Data!F417-Data!E417</f>
        <v/>
      </c>
      <c r="G417" s="21">
        <f>IFERROR(Data!G417/Data!F417,0)</f>
        <v/>
      </c>
      <c r="H417" s="22">
        <f>IF(ABS(G417-Data!I417)&lt;Summary!$B$4,"OK","CHECK")</f>
        <v/>
      </c>
      <c r="I417" s="1" t="n"/>
      <c r="J417" s="1" t="n"/>
    </row>
    <row r="418">
      <c r="A418" s="17">
        <f>Data!A418</f>
        <v/>
      </c>
      <c r="B418" s="63">
        <f>Data!B418</f>
        <v/>
      </c>
      <c r="C418" s="17">
        <f>Data!D418</f>
        <v/>
      </c>
      <c r="D418" s="64">
        <f>IFERROR(Data!G418/Data!H418,0)</f>
        <v/>
      </c>
      <c r="E418" s="64">
        <f>IFERROR(Data!L418/Data!K418,0)</f>
        <v/>
      </c>
      <c r="F418" s="65">
        <f>Data!F418-Data!E418</f>
        <v/>
      </c>
      <c r="G418" s="21">
        <f>IFERROR(Data!G418/Data!F418,0)</f>
        <v/>
      </c>
      <c r="H418" s="22">
        <f>IF(ABS(G418-Data!I418)&lt;Summary!$B$4,"OK","CHECK")</f>
        <v/>
      </c>
      <c r="I418" s="1" t="n"/>
      <c r="J418" s="1" t="n"/>
    </row>
    <row r="419">
      <c r="A419" s="17">
        <f>Data!A419</f>
        <v/>
      </c>
      <c r="B419" s="63">
        <f>Data!B419</f>
        <v/>
      </c>
      <c r="C419" s="17">
        <f>Data!D419</f>
        <v/>
      </c>
      <c r="D419" s="64">
        <f>IFERROR(Data!G419/Data!H419,0)</f>
        <v/>
      </c>
      <c r="E419" s="64">
        <f>IFERROR(Data!L419/Data!K419,0)</f>
        <v/>
      </c>
      <c r="F419" s="65">
        <f>Data!F419-Data!E419</f>
        <v/>
      </c>
      <c r="G419" s="21">
        <f>IFERROR(Data!G419/Data!F419,0)</f>
        <v/>
      </c>
      <c r="H419" s="22">
        <f>IF(ABS(G419-Data!I419)&lt;Summary!$B$4,"OK","CHECK")</f>
        <v/>
      </c>
      <c r="I419" s="1" t="n"/>
      <c r="J419" s="1" t="n"/>
    </row>
    <row r="420">
      <c r="A420" s="17">
        <f>Data!A420</f>
        <v/>
      </c>
      <c r="B420" s="63">
        <f>Data!B420</f>
        <v/>
      </c>
      <c r="C420" s="17">
        <f>Data!D420</f>
        <v/>
      </c>
      <c r="D420" s="64">
        <f>IFERROR(Data!G420/Data!H420,0)</f>
        <v/>
      </c>
      <c r="E420" s="64">
        <f>IFERROR(Data!L420/Data!K420,0)</f>
        <v/>
      </c>
      <c r="F420" s="65">
        <f>Data!F420-Data!E420</f>
        <v/>
      </c>
      <c r="G420" s="21">
        <f>IFERROR(Data!G420/Data!F420,0)</f>
        <v/>
      </c>
      <c r="H420" s="22">
        <f>IF(ABS(G420-Data!I420)&lt;Summary!$B$4,"OK","CHECK")</f>
        <v/>
      </c>
      <c r="I420" s="1" t="n"/>
      <c r="J420" s="1" t="n"/>
    </row>
    <row r="421">
      <c r="A421" s="17">
        <f>Data!A421</f>
        <v/>
      </c>
      <c r="B421" s="63">
        <f>Data!B421</f>
        <v/>
      </c>
      <c r="C421" s="17">
        <f>Data!D421</f>
        <v/>
      </c>
      <c r="D421" s="64">
        <f>IFERROR(Data!G421/Data!H421,0)</f>
        <v/>
      </c>
      <c r="E421" s="64">
        <f>IFERROR(Data!L421/Data!K421,0)</f>
        <v/>
      </c>
      <c r="F421" s="65">
        <f>Data!F421-Data!E421</f>
        <v/>
      </c>
      <c r="G421" s="21">
        <f>IFERROR(Data!G421/Data!F421,0)</f>
        <v/>
      </c>
      <c r="H421" s="22">
        <f>IF(ABS(G421-Data!I421)&lt;Summary!$B$4,"OK","CHECK")</f>
        <v/>
      </c>
      <c r="I421" s="1" t="n"/>
      <c r="J421" s="1" t="n"/>
    </row>
    <row r="422">
      <c r="A422" s="17">
        <f>Data!A422</f>
        <v/>
      </c>
      <c r="B422" s="63">
        <f>Data!B422</f>
        <v/>
      </c>
      <c r="C422" s="17">
        <f>Data!D422</f>
        <v/>
      </c>
      <c r="D422" s="64">
        <f>IFERROR(Data!G422/Data!H422,0)</f>
        <v/>
      </c>
      <c r="E422" s="64">
        <f>IFERROR(Data!L422/Data!K422,0)</f>
        <v/>
      </c>
      <c r="F422" s="65">
        <f>Data!F422-Data!E422</f>
        <v/>
      </c>
      <c r="G422" s="21">
        <f>IFERROR(Data!G422/Data!F422,0)</f>
        <v/>
      </c>
      <c r="H422" s="22">
        <f>IF(ABS(G422-Data!I422)&lt;Summary!$B$4,"OK","CHECK")</f>
        <v/>
      </c>
      <c r="I422" s="1" t="n"/>
      <c r="J422" s="1" t="n"/>
    </row>
    <row r="423">
      <c r="A423" s="17">
        <f>Data!A423</f>
        <v/>
      </c>
      <c r="B423" s="63">
        <f>Data!B423</f>
        <v/>
      </c>
      <c r="C423" s="17">
        <f>Data!D423</f>
        <v/>
      </c>
      <c r="D423" s="64">
        <f>IFERROR(Data!G423/Data!H423,0)</f>
        <v/>
      </c>
      <c r="E423" s="64">
        <f>IFERROR(Data!L423/Data!K423,0)</f>
        <v/>
      </c>
      <c r="F423" s="65">
        <f>Data!F423-Data!E423</f>
        <v/>
      </c>
      <c r="G423" s="21">
        <f>IFERROR(Data!G423/Data!F423,0)</f>
        <v/>
      </c>
      <c r="H423" s="22">
        <f>IF(ABS(G423-Data!I423)&lt;Summary!$B$4,"OK","CHECK")</f>
        <v/>
      </c>
      <c r="I423" s="1" t="n"/>
      <c r="J423" s="1" t="n"/>
    </row>
    <row r="424">
      <c r="A424" s="17">
        <f>Data!A424</f>
        <v/>
      </c>
      <c r="B424" s="63">
        <f>Data!B424</f>
        <v/>
      </c>
      <c r="C424" s="17">
        <f>Data!D424</f>
        <v/>
      </c>
      <c r="D424" s="64">
        <f>IFERROR(Data!G424/Data!H424,0)</f>
        <v/>
      </c>
      <c r="E424" s="64">
        <f>IFERROR(Data!L424/Data!K424,0)</f>
        <v/>
      </c>
      <c r="F424" s="65">
        <f>Data!F424-Data!E424</f>
        <v/>
      </c>
      <c r="G424" s="21">
        <f>IFERROR(Data!G424/Data!F424,0)</f>
        <v/>
      </c>
      <c r="H424" s="22">
        <f>IF(ABS(G424-Data!I424)&lt;Summary!$B$4,"OK","CHECK")</f>
        <v/>
      </c>
      <c r="I424" s="1" t="n"/>
      <c r="J424" s="1" t="n"/>
    </row>
    <row r="425">
      <c r="A425" s="17">
        <f>Data!A425</f>
        <v/>
      </c>
      <c r="B425" s="63">
        <f>Data!B425</f>
        <v/>
      </c>
      <c r="C425" s="17">
        <f>Data!D425</f>
        <v/>
      </c>
      <c r="D425" s="64">
        <f>IFERROR(Data!G425/Data!H425,0)</f>
        <v/>
      </c>
      <c r="E425" s="64">
        <f>IFERROR(Data!L425/Data!K425,0)</f>
        <v/>
      </c>
      <c r="F425" s="65">
        <f>Data!F425-Data!E425</f>
        <v/>
      </c>
      <c r="G425" s="21">
        <f>IFERROR(Data!G425/Data!F425,0)</f>
        <v/>
      </c>
      <c r="H425" s="22">
        <f>IF(ABS(G425-Data!I425)&lt;Summary!$B$4,"OK","CHECK")</f>
        <v/>
      </c>
      <c r="I425" s="1" t="n"/>
      <c r="J425" s="1" t="n"/>
    </row>
    <row r="426">
      <c r="A426" s="17">
        <f>Data!A426</f>
        <v/>
      </c>
      <c r="B426" s="63">
        <f>Data!B426</f>
        <v/>
      </c>
      <c r="C426" s="17">
        <f>Data!D426</f>
        <v/>
      </c>
      <c r="D426" s="64">
        <f>IFERROR(Data!G426/Data!H426,0)</f>
        <v/>
      </c>
      <c r="E426" s="64">
        <f>IFERROR(Data!L426/Data!K426,0)</f>
        <v/>
      </c>
      <c r="F426" s="65">
        <f>Data!F426-Data!E426</f>
        <v/>
      </c>
      <c r="G426" s="21">
        <f>IFERROR(Data!G426/Data!F426,0)</f>
        <v/>
      </c>
      <c r="H426" s="22">
        <f>IF(ABS(G426-Data!I426)&lt;Summary!$B$4,"OK","CHECK")</f>
        <v/>
      </c>
      <c r="I426" s="1" t="n"/>
      <c r="J426" s="1" t="n"/>
    </row>
    <row r="427">
      <c r="A427" s="17">
        <f>Data!A427</f>
        <v/>
      </c>
      <c r="B427" s="63">
        <f>Data!B427</f>
        <v/>
      </c>
      <c r="C427" s="17">
        <f>Data!D427</f>
        <v/>
      </c>
      <c r="D427" s="64">
        <f>IFERROR(Data!G427/Data!H427,0)</f>
        <v/>
      </c>
      <c r="E427" s="64">
        <f>IFERROR(Data!L427/Data!K427,0)</f>
        <v/>
      </c>
      <c r="F427" s="65">
        <f>Data!F427-Data!E427</f>
        <v/>
      </c>
      <c r="G427" s="21">
        <f>IFERROR(Data!G427/Data!F427,0)</f>
        <v/>
      </c>
      <c r="H427" s="22">
        <f>IF(ABS(G427-Data!I427)&lt;Summary!$B$4,"OK","CHECK")</f>
        <v/>
      </c>
      <c r="I427" s="1" t="n"/>
      <c r="J427" s="1" t="n"/>
    </row>
    <row r="428">
      <c r="A428" s="17">
        <f>Data!A428</f>
        <v/>
      </c>
      <c r="B428" s="63">
        <f>Data!B428</f>
        <v/>
      </c>
      <c r="C428" s="17">
        <f>Data!D428</f>
        <v/>
      </c>
      <c r="D428" s="64">
        <f>IFERROR(Data!G428/Data!H428,0)</f>
        <v/>
      </c>
      <c r="E428" s="64">
        <f>IFERROR(Data!L428/Data!K428,0)</f>
        <v/>
      </c>
      <c r="F428" s="65">
        <f>Data!F428-Data!E428</f>
        <v/>
      </c>
      <c r="G428" s="21">
        <f>IFERROR(Data!G428/Data!F428,0)</f>
        <v/>
      </c>
      <c r="H428" s="22">
        <f>IF(ABS(G428-Data!I428)&lt;Summary!$B$4,"OK","CHECK")</f>
        <v/>
      </c>
      <c r="I428" s="1" t="n"/>
      <c r="J428" s="1" t="n"/>
    </row>
    <row r="429">
      <c r="A429" s="17">
        <f>Data!A429</f>
        <v/>
      </c>
      <c r="B429" s="63">
        <f>Data!B429</f>
        <v/>
      </c>
      <c r="C429" s="17">
        <f>Data!D429</f>
        <v/>
      </c>
      <c r="D429" s="64">
        <f>IFERROR(Data!G429/Data!H429,0)</f>
        <v/>
      </c>
      <c r="E429" s="64">
        <f>IFERROR(Data!L429/Data!K429,0)</f>
        <v/>
      </c>
      <c r="F429" s="65">
        <f>Data!F429-Data!E429</f>
        <v/>
      </c>
      <c r="G429" s="21">
        <f>IFERROR(Data!G429/Data!F429,0)</f>
        <v/>
      </c>
      <c r="H429" s="22">
        <f>IF(ABS(G429-Data!I429)&lt;Summary!$B$4,"OK","CHECK")</f>
        <v/>
      </c>
      <c r="I429" s="1" t="n"/>
      <c r="J429" s="1" t="n"/>
    </row>
    <row r="430">
      <c r="A430" s="17">
        <f>Data!A430</f>
        <v/>
      </c>
      <c r="B430" s="63">
        <f>Data!B430</f>
        <v/>
      </c>
      <c r="C430" s="17">
        <f>Data!D430</f>
        <v/>
      </c>
      <c r="D430" s="64">
        <f>IFERROR(Data!G430/Data!H430,0)</f>
        <v/>
      </c>
      <c r="E430" s="64">
        <f>IFERROR(Data!L430/Data!K430,0)</f>
        <v/>
      </c>
      <c r="F430" s="65">
        <f>Data!F430-Data!E430</f>
        <v/>
      </c>
      <c r="G430" s="21">
        <f>IFERROR(Data!G430/Data!F430,0)</f>
        <v/>
      </c>
      <c r="H430" s="22">
        <f>IF(ABS(G430-Data!I430)&lt;Summary!$B$4,"OK","CHECK")</f>
        <v/>
      </c>
      <c r="I430" s="1" t="n"/>
      <c r="J430" s="1" t="n"/>
    </row>
    <row r="431">
      <c r="A431" s="17">
        <f>Data!A431</f>
        <v/>
      </c>
      <c r="B431" s="63">
        <f>Data!B431</f>
        <v/>
      </c>
      <c r="C431" s="17">
        <f>Data!D431</f>
        <v/>
      </c>
      <c r="D431" s="64">
        <f>IFERROR(Data!G431/Data!H431,0)</f>
        <v/>
      </c>
      <c r="E431" s="64">
        <f>IFERROR(Data!L431/Data!K431,0)</f>
        <v/>
      </c>
      <c r="F431" s="65">
        <f>Data!F431-Data!E431</f>
        <v/>
      </c>
      <c r="G431" s="21">
        <f>IFERROR(Data!G431/Data!F431,0)</f>
        <v/>
      </c>
      <c r="H431" s="22">
        <f>IF(ABS(G431-Data!I431)&lt;Summary!$B$4,"OK","CHECK")</f>
        <v/>
      </c>
      <c r="I431" s="1" t="n"/>
      <c r="J431" s="1" t="n"/>
    </row>
    <row r="432">
      <c r="A432" s="17">
        <f>Data!A432</f>
        <v/>
      </c>
      <c r="B432" s="63">
        <f>Data!B432</f>
        <v/>
      </c>
      <c r="C432" s="17">
        <f>Data!D432</f>
        <v/>
      </c>
      <c r="D432" s="64">
        <f>IFERROR(Data!G432/Data!H432,0)</f>
        <v/>
      </c>
      <c r="E432" s="64">
        <f>IFERROR(Data!L432/Data!K432,0)</f>
        <v/>
      </c>
      <c r="F432" s="65">
        <f>Data!F432-Data!E432</f>
        <v/>
      </c>
      <c r="G432" s="21">
        <f>IFERROR(Data!G432/Data!F432,0)</f>
        <v/>
      </c>
      <c r="H432" s="22">
        <f>IF(ABS(G432-Data!I432)&lt;Summary!$B$4,"OK","CHECK")</f>
        <v/>
      </c>
      <c r="I432" s="1" t="n"/>
      <c r="J432" s="1" t="n"/>
    </row>
    <row r="433">
      <c r="A433" s="17">
        <f>Data!A433</f>
        <v/>
      </c>
      <c r="B433" s="63">
        <f>Data!B433</f>
        <v/>
      </c>
      <c r="C433" s="17">
        <f>Data!D433</f>
        <v/>
      </c>
      <c r="D433" s="64">
        <f>IFERROR(Data!G433/Data!H433,0)</f>
        <v/>
      </c>
      <c r="E433" s="64">
        <f>IFERROR(Data!L433/Data!K433,0)</f>
        <v/>
      </c>
      <c r="F433" s="65">
        <f>Data!F433-Data!E433</f>
        <v/>
      </c>
      <c r="G433" s="21">
        <f>IFERROR(Data!G433/Data!F433,0)</f>
        <v/>
      </c>
      <c r="H433" s="22">
        <f>IF(ABS(G433-Data!I433)&lt;Summary!$B$4,"OK","CHECK")</f>
        <v/>
      </c>
      <c r="I433" s="1" t="n"/>
      <c r="J433" s="1" t="n"/>
    </row>
    <row r="434">
      <c r="A434" s="17">
        <f>Data!A434</f>
        <v/>
      </c>
      <c r="B434" s="63">
        <f>Data!B434</f>
        <v/>
      </c>
      <c r="C434" s="17">
        <f>Data!D434</f>
        <v/>
      </c>
      <c r="D434" s="64">
        <f>IFERROR(Data!G434/Data!H434,0)</f>
        <v/>
      </c>
      <c r="E434" s="64">
        <f>IFERROR(Data!L434/Data!K434,0)</f>
        <v/>
      </c>
      <c r="F434" s="65">
        <f>Data!F434-Data!E434</f>
        <v/>
      </c>
      <c r="G434" s="21">
        <f>IFERROR(Data!G434/Data!F434,0)</f>
        <v/>
      </c>
      <c r="H434" s="22">
        <f>IF(ABS(G434-Data!I434)&lt;Summary!$B$4,"OK","CHECK")</f>
        <v/>
      </c>
      <c r="I434" s="1" t="n"/>
      <c r="J434" s="1" t="n"/>
    </row>
    <row r="435">
      <c r="A435" s="17">
        <f>Data!A435</f>
        <v/>
      </c>
      <c r="B435" s="63">
        <f>Data!B435</f>
        <v/>
      </c>
      <c r="C435" s="17">
        <f>Data!D435</f>
        <v/>
      </c>
      <c r="D435" s="64">
        <f>IFERROR(Data!G435/Data!H435,0)</f>
        <v/>
      </c>
      <c r="E435" s="64">
        <f>IFERROR(Data!L435/Data!K435,0)</f>
        <v/>
      </c>
      <c r="F435" s="65">
        <f>Data!F435-Data!E435</f>
        <v/>
      </c>
      <c r="G435" s="21">
        <f>IFERROR(Data!G435/Data!F435,0)</f>
        <v/>
      </c>
      <c r="H435" s="22">
        <f>IF(ABS(G435-Data!I435)&lt;Summary!$B$4,"OK","CHECK")</f>
        <v/>
      </c>
      <c r="I435" s="1" t="n"/>
      <c r="J435" s="1" t="n"/>
    </row>
    <row r="436">
      <c r="A436" s="17">
        <f>Data!A436</f>
        <v/>
      </c>
      <c r="B436" s="63">
        <f>Data!B436</f>
        <v/>
      </c>
      <c r="C436" s="17">
        <f>Data!D436</f>
        <v/>
      </c>
      <c r="D436" s="64">
        <f>IFERROR(Data!G436/Data!H436,0)</f>
        <v/>
      </c>
      <c r="E436" s="64">
        <f>IFERROR(Data!L436/Data!K436,0)</f>
        <v/>
      </c>
      <c r="F436" s="65">
        <f>Data!F436-Data!E436</f>
        <v/>
      </c>
      <c r="G436" s="21">
        <f>IFERROR(Data!G436/Data!F436,0)</f>
        <v/>
      </c>
      <c r="H436" s="22">
        <f>IF(ABS(G436-Data!I436)&lt;Summary!$B$4,"OK","CHECK")</f>
        <v/>
      </c>
      <c r="I436" s="1" t="n"/>
      <c r="J436" s="1" t="n"/>
    </row>
    <row r="437">
      <c r="A437" s="17">
        <f>Data!A437</f>
        <v/>
      </c>
      <c r="B437" s="63">
        <f>Data!B437</f>
        <v/>
      </c>
      <c r="C437" s="17">
        <f>Data!D437</f>
        <v/>
      </c>
      <c r="D437" s="64">
        <f>IFERROR(Data!G437/Data!H437,0)</f>
        <v/>
      </c>
      <c r="E437" s="64">
        <f>IFERROR(Data!L437/Data!K437,0)</f>
        <v/>
      </c>
      <c r="F437" s="65">
        <f>Data!F437-Data!E437</f>
        <v/>
      </c>
      <c r="G437" s="21">
        <f>IFERROR(Data!G437/Data!F437,0)</f>
        <v/>
      </c>
      <c r="H437" s="22">
        <f>IF(ABS(G437-Data!I437)&lt;Summary!$B$4,"OK","CHECK")</f>
        <v/>
      </c>
      <c r="I437" s="1" t="n"/>
      <c r="J437" s="1" t="n"/>
    </row>
    <row r="438">
      <c r="A438" s="17">
        <f>Data!A438</f>
        <v/>
      </c>
      <c r="B438" s="63">
        <f>Data!B438</f>
        <v/>
      </c>
      <c r="C438" s="17">
        <f>Data!D438</f>
        <v/>
      </c>
      <c r="D438" s="64">
        <f>IFERROR(Data!G438/Data!H438,0)</f>
        <v/>
      </c>
      <c r="E438" s="64">
        <f>IFERROR(Data!L438/Data!K438,0)</f>
        <v/>
      </c>
      <c r="F438" s="65">
        <f>Data!F438-Data!E438</f>
        <v/>
      </c>
      <c r="G438" s="21">
        <f>IFERROR(Data!G438/Data!F438,0)</f>
        <v/>
      </c>
      <c r="H438" s="22">
        <f>IF(ABS(G438-Data!I438)&lt;Summary!$B$4,"OK","CHECK")</f>
        <v/>
      </c>
      <c r="I438" s="1" t="n"/>
      <c r="J438" s="1" t="n"/>
    </row>
    <row r="439">
      <c r="A439" s="17">
        <f>Data!A439</f>
        <v/>
      </c>
      <c r="B439" s="63">
        <f>Data!B439</f>
        <v/>
      </c>
      <c r="C439" s="17">
        <f>Data!D439</f>
        <v/>
      </c>
      <c r="D439" s="64">
        <f>IFERROR(Data!G439/Data!H439,0)</f>
        <v/>
      </c>
      <c r="E439" s="64">
        <f>IFERROR(Data!L439/Data!K439,0)</f>
        <v/>
      </c>
      <c r="F439" s="65">
        <f>Data!F439-Data!E439</f>
        <v/>
      </c>
      <c r="G439" s="21">
        <f>IFERROR(Data!G439/Data!F439,0)</f>
        <v/>
      </c>
      <c r="H439" s="22">
        <f>IF(ABS(G439-Data!I439)&lt;Summary!$B$4,"OK","CHECK")</f>
        <v/>
      </c>
      <c r="I439" s="1" t="n"/>
      <c r="J439" s="1" t="n"/>
    </row>
    <row r="440">
      <c r="A440" s="17">
        <f>Data!A440</f>
        <v/>
      </c>
      <c r="B440" s="63">
        <f>Data!B440</f>
        <v/>
      </c>
      <c r="C440" s="17">
        <f>Data!D440</f>
        <v/>
      </c>
      <c r="D440" s="64">
        <f>IFERROR(Data!G440/Data!H440,0)</f>
        <v/>
      </c>
      <c r="E440" s="64">
        <f>IFERROR(Data!L440/Data!K440,0)</f>
        <v/>
      </c>
      <c r="F440" s="65">
        <f>Data!F440-Data!E440</f>
        <v/>
      </c>
      <c r="G440" s="21">
        <f>IFERROR(Data!G440/Data!F440,0)</f>
        <v/>
      </c>
      <c r="H440" s="22">
        <f>IF(ABS(G440-Data!I440)&lt;Summary!$B$4,"OK","CHECK")</f>
        <v/>
      </c>
      <c r="I440" s="1" t="n"/>
      <c r="J440" s="1" t="n"/>
    </row>
    <row r="441">
      <c r="A441" s="17">
        <f>Data!A441</f>
        <v/>
      </c>
      <c r="B441" s="63">
        <f>Data!B441</f>
        <v/>
      </c>
      <c r="C441" s="17">
        <f>Data!D441</f>
        <v/>
      </c>
      <c r="D441" s="64">
        <f>IFERROR(Data!G441/Data!H441,0)</f>
        <v/>
      </c>
      <c r="E441" s="64">
        <f>IFERROR(Data!L441/Data!K441,0)</f>
        <v/>
      </c>
      <c r="F441" s="65">
        <f>Data!F441-Data!E441</f>
        <v/>
      </c>
      <c r="G441" s="21">
        <f>IFERROR(Data!G441/Data!F441,0)</f>
        <v/>
      </c>
      <c r="H441" s="22">
        <f>IF(ABS(G441-Data!I441)&lt;Summary!$B$4,"OK","CHECK")</f>
        <v/>
      </c>
      <c r="I441" s="1" t="n"/>
      <c r="J441" s="1" t="n"/>
    </row>
    <row r="442">
      <c r="A442" s="17">
        <f>Data!A442</f>
        <v/>
      </c>
      <c r="B442" s="63">
        <f>Data!B442</f>
        <v/>
      </c>
      <c r="C442" s="17">
        <f>Data!D442</f>
        <v/>
      </c>
      <c r="D442" s="64">
        <f>IFERROR(Data!G442/Data!H442,0)</f>
        <v/>
      </c>
      <c r="E442" s="64">
        <f>IFERROR(Data!L442/Data!K442,0)</f>
        <v/>
      </c>
      <c r="F442" s="65">
        <f>Data!F442-Data!E442</f>
        <v/>
      </c>
      <c r="G442" s="21">
        <f>IFERROR(Data!G442/Data!F442,0)</f>
        <v/>
      </c>
      <c r="H442" s="22">
        <f>IF(ABS(G442-Data!I442)&lt;Summary!$B$4,"OK","CHECK")</f>
        <v/>
      </c>
      <c r="I442" s="1" t="n"/>
      <c r="J442" s="1" t="n"/>
    </row>
    <row r="443">
      <c r="A443" s="17">
        <f>Data!A443</f>
        <v/>
      </c>
      <c r="B443" s="63">
        <f>Data!B443</f>
        <v/>
      </c>
      <c r="C443" s="17">
        <f>Data!D443</f>
        <v/>
      </c>
      <c r="D443" s="64">
        <f>IFERROR(Data!G443/Data!H443,0)</f>
        <v/>
      </c>
      <c r="E443" s="64">
        <f>IFERROR(Data!L443/Data!K443,0)</f>
        <v/>
      </c>
      <c r="F443" s="65">
        <f>Data!F443-Data!E443</f>
        <v/>
      </c>
      <c r="G443" s="21">
        <f>IFERROR(Data!G443/Data!F443,0)</f>
        <v/>
      </c>
      <c r="H443" s="22">
        <f>IF(ABS(G443-Data!I443)&lt;Summary!$B$4,"OK","CHECK")</f>
        <v/>
      </c>
      <c r="I443" s="1" t="n"/>
      <c r="J443" s="1" t="n"/>
    </row>
    <row r="444">
      <c r="A444" s="17">
        <f>Data!A444</f>
        <v/>
      </c>
      <c r="B444" s="63">
        <f>Data!B444</f>
        <v/>
      </c>
      <c r="C444" s="17">
        <f>Data!D444</f>
        <v/>
      </c>
      <c r="D444" s="64">
        <f>IFERROR(Data!G444/Data!H444,0)</f>
        <v/>
      </c>
      <c r="E444" s="64">
        <f>IFERROR(Data!L444/Data!K444,0)</f>
        <v/>
      </c>
      <c r="F444" s="65">
        <f>Data!F444-Data!E444</f>
        <v/>
      </c>
      <c r="G444" s="21">
        <f>IFERROR(Data!G444/Data!F444,0)</f>
        <v/>
      </c>
      <c r="H444" s="22">
        <f>IF(ABS(G444-Data!I444)&lt;Summary!$B$4,"OK","CHECK")</f>
        <v/>
      </c>
      <c r="I444" s="1" t="n"/>
      <c r="J444" s="1" t="n"/>
    </row>
    <row r="445">
      <c r="A445" s="17">
        <f>Data!A445</f>
        <v/>
      </c>
      <c r="B445" s="63">
        <f>Data!B445</f>
        <v/>
      </c>
      <c r="C445" s="17">
        <f>Data!D445</f>
        <v/>
      </c>
      <c r="D445" s="64">
        <f>IFERROR(Data!G445/Data!H445,0)</f>
        <v/>
      </c>
      <c r="E445" s="64">
        <f>IFERROR(Data!L445/Data!K445,0)</f>
        <v/>
      </c>
      <c r="F445" s="65">
        <f>Data!F445-Data!E445</f>
        <v/>
      </c>
      <c r="G445" s="21">
        <f>IFERROR(Data!G445/Data!F445,0)</f>
        <v/>
      </c>
      <c r="H445" s="22">
        <f>IF(ABS(G445-Data!I445)&lt;Summary!$B$4,"OK","CHECK")</f>
        <v/>
      </c>
      <c r="I445" s="1" t="n"/>
      <c r="J445" s="1" t="n"/>
    </row>
    <row r="446">
      <c r="A446" s="17">
        <f>Data!A446</f>
        <v/>
      </c>
      <c r="B446" s="63">
        <f>Data!B446</f>
        <v/>
      </c>
      <c r="C446" s="17">
        <f>Data!D446</f>
        <v/>
      </c>
      <c r="D446" s="64">
        <f>IFERROR(Data!G446/Data!H446,0)</f>
        <v/>
      </c>
      <c r="E446" s="64">
        <f>IFERROR(Data!L446/Data!K446,0)</f>
        <v/>
      </c>
      <c r="F446" s="65">
        <f>Data!F446-Data!E446</f>
        <v/>
      </c>
      <c r="G446" s="21">
        <f>IFERROR(Data!G446/Data!F446,0)</f>
        <v/>
      </c>
      <c r="H446" s="22">
        <f>IF(ABS(G446-Data!I446)&lt;Summary!$B$4,"OK","CHECK")</f>
        <v/>
      </c>
      <c r="I446" s="1" t="n"/>
      <c r="J446" s="1" t="n"/>
    </row>
    <row r="447">
      <c r="A447" s="17">
        <f>Data!A447</f>
        <v/>
      </c>
      <c r="B447" s="63">
        <f>Data!B447</f>
        <v/>
      </c>
      <c r="C447" s="17">
        <f>Data!D447</f>
        <v/>
      </c>
      <c r="D447" s="64">
        <f>IFERROR(Data!G447/Data!H447,0)</f>
        <v/>
      </c>
      <c r="E447" s="64">
        <f>IFERROR(Data!L447/Data!K447,0)</f>
        <v/>
      </c>
      <c r="F447" s="65">
        <f>Data!F447-Data!E447</f>
        <v/>
      </c>
      <c r="G447" s="21">
        <f>IFERROR(Data!G447/Data!F447,0)</f>
        <v/>
      </c>
      <c r="H447" s="22">
        <f>IF(ABS(G447-Data!I447)&lt;Summary!$B$4,"OK","CHECK")</f>
        <v/>
      </c>
      <c r="I447" s="1" t="n"/>
      <c r="J447" s="1" t="n"/>
    </row>
    <row r="448">
      <c r="A448" s="17">
        <f>Data!A448</f>
        <v/>
      </c>
      <c r="B448" s="63">
        <f>Data!B448</f>
        <v/>
      </c>
      <c r="C448" s="17">
        <f>Data!D448</f>
        <v/>
      </c>
      <c r="D448" s="64">
        <f>IFERROR(Data!G448/Data!H448,0)</f>
        <v/>
      </c>
      <c r="E448" s="64">
        <f>IFERROR(Data!L448/Data!K448,0)</f>
        <v/>
      </c>
      <c r="F448" s="65">
        <f>Data!F448-Data!E448</f>
        <v/>
      </c>
      <c r="G448" s="21">
        <f>IFERROR(Data!G448/Data!F448,0)</f>
        <v/>
      </c>
      <c r="H448" s="22">
        <f>IF(ABS(G448-Data!I448)&lt;Summary!$B$4,"OK","CHECK")</f>
        <v/>
      </c>
      <c r="I448" s="1" t="n"/>
      <c r="J448" s="1" t="n"/>
    </row>
    <row r="449">
      <c r="A449" s="17">
        <f>Data!A449</f>
        <v/>
      </c>
      <c r="B449" s="63">
        <f>Data!B449</f>
        <v/>
      </c>
      <c r="C449" s="17">
        <f>Data!D449</f>
        <v/>
      </c>
      <c r="D449" s="64">
        <f>IFERROR(Data!G449/Data!H449,0)</f>
        <v/>
      </c>
      <c r="E449" s="64">
        <f>IFERROR(Data!L449/Data!K449,0)</f>
        <v/>
      </c>
      <c r="F449" s="65">
        <f>Data!F449-Data!E449</f>
        <v/>
      </c>
      <c r="G449" s="21">
        <f>IFERROR(Data!G449/Data!F449,0)</f>
        <v/>
      </c>
      <c r="H449" s="22">
        <f>IF(ABS(G449-Data!I449)&lt;Summary!$B$4,"OK","CHECK")</f>
        <v/>
      </c>
      <c r="I449" s="1" t="n"/>
      <c r="J449" s="1" t="n"/>
    </row>
    <row r="450">
      <c r="A450" s="17">
        <f>Data!A450</f>
        <v/>
      </c>
      <c r="B450" s="63">
        <f>Data!B450</f>
        <v/>
      </c>
      <c r="C450" s="17">
        <f>Data!D450</f>
        <v/>
      </c>
      <c r="D450" s="64">
        <f>IFERROR(Data!G450/Data!H450,0)</f>
        <v/>
      </c>
      <c r="E450" s="64">
        <f>IFERROR(Data!L450/Data!K450,0)</f>
        <v/>
      </c>
      <c r="F450" s="65">
        <f>Data!F450-Data!E450</f>
        <v/>
      </c>
      <c r="G450" s="21">
        <f>IFERROR(Data!G450/Data!F450,0)</f>
        <v/>
      </c>
      <c r="H450" s="22">
        <f>IF(ABS(G450-Data!I450)&lt;Summary!$B$4,"OK","CHECK")</f>
        <v/>
      </c>
      <c r="I450" s="1" t="n"/>
      <c r="J450" s="1" t="n"/>
    </row>
    <row r="451">
      <c r="A451" s="17">
        <f>Data!A451</f>
        <v/>
      </c>
      <c r="B451" s="63">
        <f>Data!B451</f>
        <v/>
      </c>
      <c r="C451" s="17">
        <f>Data!D451</f>
        <v/>
      </c>
      <c r="D451" s="64">
        <f>IFERROR(Data!G451/Data!H451,0)</f>
        <v/>
      </c>
      <c r="E451" s="64">
        <f>IFERROR(Data!L451/Data!K451,0)</f>
        <v/>
      </c>
      <c r="F451" s="65">
        <f>Data!F451-Data!E451</f>
        <v/>
      </c>
      <c r="G451" s="21">
        <f>IFERROR(Data!G451/Data!F451,0)</f>
        <v/>
      </c>
      <c r="H451" s="22">
        <f>IF(ABS(G451-Data!I451)&lt;Summary!$B$4,"OK","CHECK")</f>
        <v/>
      </c>
      <c r="I451" s="1" t="n"/>
      <c r="J451" s="1" t="n"/>
    </row>
    <row r="452">
      <c r="A452" s="17">
        <f>Data!A452</f>
        <v/>
      </c>
      <c r="B452" s="63">
        <f>Data!B452</f>
        <v/>
      </c>
      <c r="C452" s="17">
        <f>Data!D452</f>
        <v/>
      </c>
      <c r="D452" s="64">
        <f>IFERROR(Data!G452/Data!H452,0)</f>
        <v/>
      </c>
      <c r="E452" s="64">
        <f>IFERROR(Data!L452/Data!K452,0)</f>
        <v/>
      </c>
      <c r="F452" s="65">
        <f>Data!F452-Data!E452</f>
        <v/>
      </c>
      <c r="G452" s="21">
        <f>IFERROR(Data!G452/Data!F452,0)</f>
        <v/>
      </c>
      <c r="H452" s="22">
        <f>IF(ABS(G452-Data!I452)&lt;Summary!$B$4,"OK","CHECK")</f>
        <v/>
      </c>
      <c r="I452" s="1" t="n"/>
      <c r="J452" s="1" t="n"/>
    </row>
    <row r="453">
      <c r="A453" s="17">
        <f>Data!A453</f>
        <v/>
      </c>
      <c r="B453" s="63">
        <f>Data!B453</f>
        <v/>
      </c>
      <c r="C453" s="17">
        <f>Data!D453</f>
        <v/>
      </c>
      <c r="D453" s="64">
        <f>IFERROR(Data!G453/Data!H453,0)</f>
        <v/>
      </c>
      <c r="E453" s="64">
        <f>IFERROR(Data!L453/Data!K453,0)</f>
        <v/>
      </c>
      <c r="F453" s="65">
        <f>Data!F453-Data!E453</f>
        <v/>
      </c>
      <c r="G453" s="21">
        <f>IFERROR(Data!G453/Data!F453,0)</f>
        <v/>
      </c>
      <c r="H453" s="22">
        <f>IF(ABS(G453-Data!I453)&lt;Summary!$B$4,"OK","CHECK")</f>
        <v/>
      </c>
      <c r="I453" s="1" t="n"/>
      <c r="J453" s="1" t="n"/>
    </row>
    <row r="454">
      <c r="A454" s="17">
        <f>Data!A454</f>
        <v/>
      </c>
      <c r="B454" s="63">
        <f>Data!B454</f>
        <v/>
      </c>
      <c r="C454" s="17">
        <f>Data!D454</f>
        <v/>
      </c>
      <c r="D454" s="64">
        <f>IFERROR(Data!G454/Data!H454,0)</f>
        <v/>
      </c>
      <c r="E454" s="64">
        <f>IFERROR(Data!L454/Data!K454,0)</f>
        <v/>
      </c>
      <c r="F454" s="65">
        <f>Data!F454-Data!E454</f>
        <v/>
      </c>
      <c r="G454" s="21">
        <f>IFERROR(Data!G454/Data!F454,0)</f>
        <v/>
      </c>
      <c r="H454" s="22">
        <f>IF(ABS(G454-Data!I454)&lt;Summary!$B$4,"OK","CHECK")</f>
        <v/>
      </c>
      <c r="I454" s="1" t="n"/>
      <c r="J454" s="1" t="n"/>
    </row>
    <row r="455">
      <c r="A455" s="17">
        <f>Data!A455</f>
        <v/>
      </c>
      <c r="B455" s="63">
        <f>Data!B455</f>
        <v/>
      </c>
      <c r="C455" s="17">
        <f>Data!D455</f>
        <v/>
      </c>
      <c r="D455" s="64">
        <f>IFERROR(Data!G455/Data!H455,0)</f>
        <v/>
      </c>
      <c r="E455" s="64">
        <f>IFERROR(Data!L455/Data!K455,0)</f>
        <v/>
      </c>
      <c r="F455" s="65">
        <f>Data!F455-Data!E455</f>
        <v/>
      </c>
      <c r="G455" s="21">
        <f>IFERROR(Data!G455/Data!F455,0)</f>
        <v/>
      </c>
      <c r="H455" s="22">
        <f>IF(ABS(G455-Data!I455)&lt;Summary!$B$4,"OK","CHECK")</f>
        <v/>
      </c>
      <c r="I455" s="1" t="n"/>
      <c r="J455" s="1" t="n"/>
    </row>
    <row r="456">
      <c r="A456" s="17">
        <f>Data!A456</f>
        <v/>
      </c>
      <c r="B456" s="63">
        <f>Data!B456</f>
        <v/>
      </c>
      <c r="C456" s="17">
        <f>Data!D456</f>
        <v/>
      </c>
      <c r="D456" s="64">
        <f>IFERROR(Data!G456/Data!H456,0)</f>
        <v/>
      </c>
      <c r="E456" s="64">
        <f>IFERROR(Data!L456/Data!K456,0)</f>
        <v/>
      </c>
      <c r="F456" s="65">
        <f>Data!F456-Data!E456</f>
        <v/>
      </c>
      <c r="G456" s="21">
        <f>IFERROR(Data!G456/Data!F456,0)</f>
        <v/>
      </c>
      <c r="H456" s="22">
        <f>IF(ABS(G456-Data!I456)&lt;Summary!$B$4,"OK","CHECK")</f>
        <v/>
      </c>
      <c r="I456" s="1" t="n"/>
      <c r="J456" s="1" t="n"/>
    </row>
    <row r="457">
      <c r="A457" s="17">
        <f>Data!A457</f>
        <v/>
      </c>
      <c r="B457" s="63">
        <f>Data!B457</f>
        <v/>
      </c>
      <c r="C457" s="17">
        <f>Data!D457</f>
        <v/>
      </c>
      <c r="D457" s="64">
        <f>IFERROR(Data!G457/Data!H457,0)</f>
        <v/>
      </c>
      <c r="E457" s="64">
        <f>IFERROR(Data!L457/Data!K457,0)</f>
        <v/>
      </c>
      <c r="F457" s="65">
        <f>Data!F457-Data!E457</f>
        <v/>
      </c>
      <c r="G457" s="21">
        <f>IFERROR(Data!G457/Data!F457,0)</f>
        <v/>
      </c>
      <c r="H457" s="22">
        <f>IF(ABS(G457-Data!I457)&lt;Summary!$B$4,"OK","CHECK")</f>
        <v/>
      </c>
      <c r="I457" s="1" t="n"/>
      <c r="J457" s="1" t="n"/>
    </row>
    <row r="458">
      <c r="A458" s="17">
        <f>Data!A458</f>
        <v/>
      </c>
      <c r="B458" s="63">
        <f>Data!B458</f>
        <v/>
      </c>
      <c r="C458" s="17">
        <f>Data!D458</f>
        <v/>
      </c>
      <c r="D458" s="64">
        <f>IFERROR(Data!G458/Data!H458,0)</f>
        <v/>
      </c>
      <c r="E458" s="64">
        <f>IFERROR(Data!L458/Data!K458,0)</f>
        <v/>
      </c>
      <c r="F458" s="65">
        <f>Data!F458-Data!E458</f>
        <v/>
      </c>
      <c r="G458" s="21">
        <f>IFERROR(Data!G458/Data!F458,0)</f>
        <v/>
      </c>
      <c r="H458" s="22">
        <f>IF(ABS(G458-Data!I458)&lt;Summary!$B$4,"OK","CHECK")</f>
        <v/>
      </c>
      <c r="I458" s="1" t="n"/>
      <c r="J458" s="1" t="n"/>
    </row>
    <row r="459">
      <c r="A459" s="17">
        <f>Data!A459</f>
        <v/>
      </c>
      <c r="B459" s="63">
        <f>Data!B459</f>
        <v/>
      </c>
      <c r="C459" s="17">
        <f>Data!D459</f>
        <v/>
      </c>
      <c r="D459" s="64">
        <f>IFERROR(Data!G459/Data!H459,0)</f>
        <v/>
      </c>
      <c r="E459" s="64">
        <f>IFERROR(Data!L459/Data!K459,0)</f>
        <v/>
      </c>
      <c r="F459" s="65">
        <f>Data!F459-Data!E459</f>
        <v/>
      </c>
      <c r="G459" s="21">
        <f>IFERROR(Data!G459/Data!F459,0)</f>
        <v/>
      </c>
      <c r="H459" s="22">
        <f>IF(ABS(G459-Data!I459)&lt;Summary!$B$4,"OK","CHECK")</f>
        <v/>
      </c>
      <c r="I459" s="1" t="n"/>
      <c r="J459" s="1" t="n"/>
    </row>
    <row r="460">
      <c r="A460" s="17">
        <f>Data!A460</f>
        <v/>
      </c>
      <c r="B460" s="63">
        <f>Data!B460</f>
        <v/>
      </c>
      <c r="C460" s="17">
        <f>Data!D460</f>
        <v/>
      </c>
      <c r="D460" s="64">
        <f>IFERROR(Data!G460/Data!H460,0)</f>
        <v/>
      </c>
      <c r="E460" s="64">
        <f>IFERROR(Data!L460/Data!K460,0)</f>
        <v/>
      </c>
      <c r="F460" s="65">
        <f>Data!F460-Data!E460</f>
        <v/>
      </c>
      <c r="G460" s="21">
        <f>IFERROR(Data!G460/Data!F460,0)</f>
        <v/>
      </c>
      <c r="H460" s="22">
        <f>IF(ABS(G460-Data!I460)&lt;Summary!$B$4,"OK","CHECK")</f>
        <v/>
      </c>
      <c r="I460" s="1" t="n"/>
      <c r="J460" s="1" t="n"/>
    </row>
    <row r="461">
      <c r="A461" s="17">
        <f>Data!A461</f>
        <v/>
      </c>
      <c r="B461" s="63">
        <f>Data!B461</f>
        <v/>
      </c>
      <c r="C461" s="17">
        <f>Data!D461</f>
        <v/>
      </c>
      <c r="D461" s="64">
        <f>IFERROR(Data!G461/Data!H461,0)</f>
        <v/>
      </c>
      <c r="E461" s="64">
        <f>IFERROR(Data!L461/Data!K461,0)</f>
        <v/>
      </c>
      <c r="F461" s="65">
        <f>Data!F461-Data!E461</f>
        <v/>
      </c>
      <c r="G461" s="21">
        <f>IFERROR(Data!G461/Data!F461,0)</f>
        <v/>
      </c>
      <c r="H461" s="22">
        <f>IF(ABS(G461-Data!I461)&lt;Summary!$B$4,"OK","CHECK")</f>
        <v/>
      </c>
      <c r="I461" s="1" t="n"/>
      <c r="J461" s="1" t="n"/>
    </row>
    <row r="462">
      <c r="A462" s="17">
        <f>Data!A462</f>
        <v/>
      </c>
      <c r="B462" s="63">
        <f>Data!B462</f>
        <v/>
      </c>
      <c r="C462" s="17">
        <f>Data!D462</f>
        <v/>
      </c>
      <c r="D462" s="64">
        <f>IFERROR(Data!G462/Data!H462,0)</f>
        <v/>
      </c>
      <c r="E462" s="64">
        <f>IFERROR(Data!L462/Data!K462,0)</f>
        <v/>
      </c>
      <c r="F462" s="65">
        <f>Data!F462-Data!E462</f>
        <v/>
      </c>
      <c r="G462" s="21">
        <f>IFERROR(Data!G462/Data!F462,0)</f>
        <v/>
      </c>
      <c r="H462" s="22">
        <f>IF(ABS(G462-Data!I462)&lt;Summary!$B$4,"OK","CHECK")</f>
        <v/>
      </c>
      <c r="I462" s="1" t="n"/>
      <c r="J462" s="1" t="n"/>
    </row>
    <row r="463">
      <c r="A463" s="17">
        <f>Data!A463</f>
        <v/>
      </c>
      <c r="B463" s="63">
        <f>Data!B463</f>
        <v/>
      </c>
      <c r="C463" s="17">
        <f>Data!D463</f>
        <v/>
      </c>
      <c r="D463" s="64">
        <f>IFERROR(Data!G463/Data!H463,0)</f>
        <v/>
      </c>
      <c r="E463" s="64">
        <f>IFERROR(Data!L463/Data!K463,0)</f>
        <v/>
      </c>
      <c r="F463" s="65">
        <f>Data!F463-Data!E463</f>
        <v/>
      </c>
      <c r="G463" s="21">
        <f>IFERROR(Data!G463/Data!F463,0)</f>
        <v/>
      </c>
      <c r="H463" s="22">
        <f>IF(ABS(G463-Data!I463)&lt;Summary!$B$4,"OK","CHECK")</f>
        <v/>
      </c>
      <c r="I463" s="1" t="n"/>
      <c r="J463" s="1" t="n"/>
    </row>
    <row r="464">
      <c r="A464" s="17">
        <f>Data!A464</f>
        <v/>
      </c>
      <c r="B464" s="63">
        <f>Data!B464</f>
        <v/>
      </c>
      <c r="C464" s="17">
        <f>Data!D464</f>
        <v/>
      </c>
      <c r="D464" s="64">
        <f>IFERROR(Data!G464/Data!H464,0)</f>
        <v/>
      </c>
      <c r="E464" s="64">
        <f>IFERROR(Data!L464/Data!K464,0)</f>
        <v/>
      </c>
      <c r="F464" s="65">
        <f>Data!F464-Data!E464</f>
        <v/>
      </c>
      <c r="G464" s="21">
        <f>IFERROR(Data!G464/Data!F464,0)</f>
        <v/>
      </c>
      <c r="H464" s="22">
        <f>IF(ABS(G464-Data!I464)&lt;Summary!$B$4,"OK","CHECK")</f>
        <v/>
      </c>
      <c r="I464" s="1" t="n"/>
      <c r="J464" s="1" t="n"/>
    </row>
    <row r="465">
      <c r="A465" s="17">
        <f>Data!A465</f>
        <v/>
      </c>
      <c r="B465" s="63">
        <f>Data!B465</f>
        <v/>
      </c>
      <c r="C465" s="17">
        <f>Data!D465</f>
        <v/>
      </c>
      <c r="D465" s="64">
        <f>IFERROR(Data!G465/Data!H465,0)</f>
        <v/>
      </c>
      <c r="E465" s="64">
        <f>IFERROR(Data!L465/Data!K465,0)</f>
        <v/>
      </c>
      <c r="F465" s="65">
        <f>Data!F465-Data!E465</f>
        <v/>
      </c>
      <c r="G465" s="21">
        <f>IFERROR(Data!G465/Data!F465,0)</f>
        <v/>
      </c>
      <c r="H465" s="22">
        <f>IF(ABS(G465-Data!I465)&lt;Summary!$B$4,"OK","CHECK")</f>
        <v/>
      </c>
      <c r="I465" s="1" t="n"/>
      <c r="J465" s="1" t="n"/>
    </row>
    <row r="466">
      <c r="A466" s="17">
        <f>Data!A466</f>
        <v/>
      </c>
      <c r="B466" s="63">
        <f>Data!B466</f>
        <v/>
      </c>
      <c r="C466" s="17">
        <f>Data!D466</f>
        <v/>
      </c>
      <c r="D466" s="64">
        <f>IFERROR(Data!G466/Data!H466,0)</f>
        <v/>
      </c>
      <c r="E466" s="64">
        <f>IFERROR(Data!L466/Data!K466,0)</f>
        <v/>
      </c>
      <c r="F466" s="65">
        <f>Data!F466-Data!E466</f>
        <v/>
      </c>
      <c r="G466" s="21">
        <f>IFERROR(Data!G466/Data!F466,0)</f>
        <v/>
      </c>
      <c r="H466" s="22">
        <f>IF(ABS(G466-Data!I466)&lt;Summary!$B$4,"OK","CHECK")</f>
        <v/>
      </c>
      <c r="I466" s="1" t="n"/>
      <c r="J466" s="1" t="n"/>
    </row>
    <row r="467">
      <c r="A467" s="17">
        <f>Data!A467</f>
        <v/>
      </c>
      <c r="B467" s="63">
        <f>Data!B467</f>
        <v/>
      </c>
      <c r="C467" s="17">
        <f>Data!D467</f>
        <v/>
      </c>
      <c r="D467" s="64">
        <f>IFERROR(Data!G467/Data!H467,0)</f>
        <v/>
      </c>
      <c r="E467" s="64">
        <f>IFERROR(Data!L467/Data!K467,0)</f>
        <v/>
      </c>
      <c r="F467" s="65">
        <f>Data!F467-Data!E467</f>
        <v/>
      </c>
      <c r="G467" s="21">
        <f>IFERROR(Data!G467/Data!F467,0)</f>
        <v/>
      </c>
      <c r="H467" s="22">
        <f>IF(ABS(G467-Data!I467)&lt;Summary!$B$4,"OK","CHECK")</f>
        <v/>
      </c>
      <c r="I467" s="1" t="n"/>
      <c r="J467" s="1" t="n"/>
    </row>
    <row r="468">
      <c r="A468" s="17">
        <f>Data!A468</f>
        <v/>
      </c>
      <c r="B468" s="63">
        <f>Data!B468</f>
        <v/>
      </c>
      <c r="C468" s="17">
        <f>Data!D468</f>
        <v/>
      </c>
      <c r="D468" s="64">
        <f>IFERROR(Data!G468/Data!H468,0)</f>
        <v/>
      </c>
      <c r="E468" s="64">
        <f>IFERROR(Data!L468/Data!K468,0)</f>
        <v/>
      </c>
      <c r="F468" s="65">
        <f>Data!F468-Data!E468</f>
        <v/>
      </c>
      <c r="G468" s="21">
        <f>IFERROR(Data!G468/Data!F468,0)</f>
        <v/>
      </c>
      <c r="H468" s="22">
        <f>IF(ABS(G468-Data!I468)&lt;Summary!$B$4,"OK","CHECK")</f>
        <v/>
      </c>
      <c r="I468" s="1" t="n"/>
      <c r="J468" s="1" t="n"/>
    </row>
    <row r="469">
      <c r="A469" s="17">
        <f>Data!A469</f>
        <v/>
      </c>
      <c r="B469" s="63">
        <f>Data!B469</f>
        <v/>
      </c>
      <c r="C469" s="17">
        <f>Data!D469</f>
        <v/>
      </c>
      <c r="D469" s="64">
        <f>IFERROR(Data!G469/Data!H469,0)</f>
        <v/>
      </c>
      <c r="E469" s="64">
        <f>IFERROR(Data!L469/Data!K469,0)</f>
        <v/>
      </c>
      <c r="F469" s="65">
        <f>Data!F469-Data!E469</f>
        <v/>
      </c>
      <c r="G469" s="21">
        <f>IFERROR(Data!G469/Data!F469,0)</f>
        <v/>
      </c>
      <c r="H469" s="22">
        <f>IF(ABS(G469-Data!I469)&lt;Summary!$B$4,"OK","CHECK")</f>
        <v/>
      </c>
      <c r="I469" s="1" t="n"/>
      <c r="J469" s="1" t="n"/>
    </row>
    <row r="470">
      <c r="A470" s="17">
        <f>Data!A470</f>
        <v/>
      </c>
      <c r="B470" s="63">
        <f>Data!B470</f>
        <v/>
      </c>
      <c r="C470" s="17">
        <f>Data!D470</f>
        <v/>
      </c>
      <c r="D470" s="64">
        <f>IFERROR(Data!G470/Data!H470,0)</f>
        <v/>
      </c>
      <c r="E470" s="64">
        <f>IFERROR(Data!L470/Data!K470,0)</f>
        <v/>
      </c>
      <c r="F470" s="65">
        <f>Data!F470-Data!E470</f>
        <v/>
      </c>
      <c r="G470" s="21">
        <f>IFERROR(Data!G470/Data!F470,0)</f>
        <v/>
      </c>
      <c r="H470" s="22">
        <f>IF(ABS(G470-Data!I470)&lt;Summary!$B$4,"OK","CHECK")</f>
        <v/>
      </c>
      <c r="I470" s="1" t="n"/>
      <c r="J470" s="1" t="n"/>
    </row>
    <row r="471">
      <c r="A471" s="17">
        <f>Data!A471</f>
        <v/>
      </c>
      <c r="B471" s="63">
        <f>Data!B471</f>
        <v/>
      </c>
      <c r="C471" s="17">
        <f>Data!D471</f>
        <v/>
      </c>
      <c r="D471" s="64">
        <f>IFERROR(Data!G471/Data!H471,0)</f>
        <v/>
      </c>
      <c r="E471" s="64">
        <f>IFERROR(Data!L471/Data!K471,0)</f>
        <v/>
      </c>
      <c r="F471" s="65">
        <f>Data!F471-Data!E471</f>
        <v/>
      </c>
      <c r="G471" s="21">
        <f>IFERROR(Data!G471/Data!F471,0)</f>
        <v/>
      </c>
      <c r="H471" s="22">
        <f>IF(ABS(G471-Data!I471)&lt;Summary!$B$4,"OK","CHECK")</f>
        <v/>
      </c>
      <c r="I471" s="1" t="n"/>
      <c r="J471" s="1" t="n"/>
    </row>
    <row r="472">
      <c r="A472" s="17">
        <f>Data!A472</f>
        <v/>
      </c>
      <c r="B472" s="63">
        <f>Data!B472</f>
        <v/>
      </c>
      <c r="C472" s="17">
        <f>Data!D472</f>
        <v/>
      </c>
      <c r="D472" s="64">
        <f>IFERROR(Data!G472/Data!H472,0)</f>
        <v/>
      </c>
      <c r="E472" s="64">
        <f>IFERROR(Data!L472/Data!K472,0)</f>
        <v/>
      </c>
      <c r="F472" s="65">
        <f>Data!F472-Data!E472</f>
        <v/>
      </c>
      <c r="G472" s="21">
        <f>IFERROR(Data!G472/Data!F472,0)</f>
        <v/>
      </c>
      <c r="H472" s="22">
        <f>IF(ABS(G472-Data!I472)&lt;Summary!$B$4,"OK","CHECK")</f>
        <v/>
      </c>
      <c r="I472" s="1" t="n"/>
      <c r="J472" s="1" t="n"/>
    </row>
    <row r="473">
      <c r="A473" s="17">
        <f>Data!A473</f>
        <v/>
      </c>
      <c r="B473" s="63">
        <f>Data!B473</f>
        <v/>
      </c>
      <c r="C473" s="17">
        <f>Data!D473</f>
        <v/>
      </c>
      <c r="D473" s="64">
        <f>IFERROR(Data!G473/Data!H473,0)</f>
        <v/>
      </c>
      <c r="E473" s="64">
        <f>IFERROR(Data!L473/Data!K473,0)</f>
        <v/>
      </c>
      <c r="F473" s="65">
        <f>Data!F473-Data!E473</f>
        <v/>
      </c>
      <c r="G473" s="21">
        <f>IFERROR(Data!G473/Data!F473,0)</f>
        <v/>
      </c>
      <c r="H473" s="22">
        <f>IF(ABS(G473-Data!I473)&lt;Summary!$B$4,"OK","CHECK")</f>
        <v/>
      </c>
      <c r="I473" s="1" t="n"/>
      <c r="J473" s="1" t="n"/>
    </row>
    <row r="474">
      <c r="A474" s="17">
        <f>Data!A474</f>
        <v/>
      </c>
      <c r="B474" s="63">
        <f>Data!B474</f>
        <v/>
      </c>
      <c r="C474" s="17">
        <f>Data!D474</f>
        <v/>
      </c>
      <c r="D474" s="64">
        <f>IFERROR(Data!G474/Data!H474,0)</f>
        <v/>
      </c>
      <c r="E474" s="64">
        <f>IFERROR(Data!L474/Data!K474,0)</f>
        <v/>
      </c>
      <c r="F474" s="65">
        <f>Data!F474-Data!E474</f>
        <v/>
      </c>
      <c r="G474" s="21">
        <f>IFERROR(Data!G474/Data!F474,0)</f>
        <v/>
      </c>
      <c r="H474" s="22">
        <f>IF(ABS(G474-Data!I474)&lt;Summary!$B$4,"OK","CHECK")</f>
        <v/>
      </c>
      <c r="I474" s="1" t="n"/>
      <c r="J474" s="1" t="n"/>
    </row>
    <row r="475">
      <c r="A475" s="17">
        <f>Data!A475</f>
        <v/>
      </c>
      <c r="B475" s="63">
        <f>Data!B475</f>
        <v/>
      </c>
      <c r="C475" s="17">
        <f>Data!D475</f>
        <v/>
      </c>
      <c r="D475" s="64">
        <f>IFERROR(Data!G475/Data!H475,0)</f>
        <v/>
      </c>
      <c r="E475" s="64">
        <f>IFERROR(Data!L475/Data!K475,0)</f>
        <v/>
      </c>
      <c r="F475" s="65">
        <f>Data!F475-Data!E475</f>
        <v/>
      </c>
      <c r="G475" s="21">
        <f>IFERROR(Data!G475/Data!F475,0)</f>
        <v/>
      </c>
      <c r="H475" s="22">
        <f>IF(ABS(G475-Data!I475)&lt;Summary!$B$4,"OK","CHECK")</f>
        <v/>
      </c>
      <c r="I475" s="1" t="n"/>
      <c r="J475" s="1" t="n"/>
    </row>
    <row r="476">
      <c r="A476" s="17">
        <f>Data!A476</f>
        <v/>
      </c>
      <c r="B476" s="63">
        <f>Data!B476</f>
        <v/>
      </c>
      <c r="C476" s="17">
        <f>Data!D476</f>
        <v/>
      </c>
      <c r="D476" s="64">
        <f>IFERROR(Data!G476/Data!H476,0)</f>
        <v/>
      </c>
      <c r="E476" s="64">
        <f>IFERROR(Data!L476/Data!K476,0)</f>
        <v/>
      </c>
      <c r="F476" s="65">
        <f>Data!F476-Data!E476</f>
        <v/>
      </c>
      <c r="G476" s="21">
        <f>IFERROR(Data!G476/Data!F476,0)</f>
        <v/>
      </c>
      <c r="H476" s="22">
        <f>IF(ABS(G476-Data!I476)&lt;Summary!$B$4,"OK","CHECK")</f>
        <v/>
      </c>
      <c r="I476" s="1" t="n"/>
      <c r="J476" s="1" t="n"/>
    </row>
    <row r="477">
      <c r="A477" s="17">
        <f>Data!A477</f>
        <v/>
      </c>
      <c r="B477" s="63">
        <f>Data!B477</f>
        <v/>
      </c>
      <c r="C477" s="17">
        <f>Data!D477</f>
        <v/>
      </c>
      <c r="D477" s="64">
        <f>IFERROR(Data!G477/Data!H477,0)</f>
        <v/>
      </c>
      <c r="E477" s="64">
        <f>IFERROR(Data!L477/Data!K477,0)</f>
        <v/>
      </c>
      <c r="F477" s="65">
        <f>Data!F477-Data!E477</f>
        <v/>
      </c>
      <c r="G477" s="21">
        <f>IFERROR(Data!G477/Data!F477,0)</f>
        <v/>
      </c>
      <c r="H477" s="22">
        <f>IF(ABS(G477-Data!I477)&lt;Summary!$B$4,"OK","CHECK")</f>
        <v/>
      </c>
      <c r="I477" s="1" t="n"/>
      <c r="J477" s="1" t="n"/>
    </row>
    <row r="478">
      <c r="A478" s="17">
        <f>Data!A478</f>
        <v/>
      </c>
      <c r="B478" s="63">
        <f>Data!B478</f>
        <v/>
      </c>
      <c r="C478" s="17">
        <f>Data!D478</f>
        <v/>
      </c>
      <c r="D478" s="64">
        <f>IFERROR(Data!G478/Data!H478,0)</f>
        <v/>
      </c>
      <c r="E478" s="64">
        <f>IFERROR(Data!L478/Data!K478,0)</f>
        <v/>
      </c>
      <c r="F478" s="65">
        <f>Data!F478-Data!E478</f>
        <v/>
      </c>
      <c r="G478" s="21">
        <f>IFERROR(Data!G478/Data!F478,0)</f>
        <v/>
      </c>
      <c r="H478" s="22">
        <f>IF(ABS(G478-Data!I478)&lt;Summary!$B$4,"OK","CHECK")</f>
        <v/>
      </c>
      <c r="I478" s="1" t="n"/>
      <c r="J478" s="1" t="n"/>
    </row>
    <row r="479">
      <c r="A479" s="17">
        <f>Data!A479</f>
        <v/>
      </c>
      <c r="B479" s="63">
        <f>Data!B479</f>
        <v/>
      </c>
      <c r="C479" s="17">
        <f>Data!D479</f>
        <v/>
      </c>
      <c r="D479" s="64">
        <f>IFERROR(Data!G479/Data!H479,0)</f>
        <v/>
      </c>
      <c r="E479" s="64">
        <f>IFERROR(Data!L479/Data!K479,0)</f>
        <v/>
      </c>
      <c r="F479" s="65">
        <f>Data!F479-Data!E479</f>
        <v/>
      </c>
      <c r="G479" s="21">
        <f>IFERROR(Data!G479/Data!F479,0)</f>
        <v/>
      </c>
      <c r="H479" s="22">
        <f>IF(ABS(G479-Data!I479)&lt;Summary!$B$4,"OK","CHECK")</f>
        <v/>
      </c>
      <c r="I479" s="1" t="n"/>
      <c r="J479" s="1" t="n"/>
    </row>
    <row r="480">
      <c r="A480" s="17">
        <f>Data!A480</f>
        <v/>
      </c>
      <c r="B480" s="63">
        <f>Data!B480</f>
        <v/>
      </c>
      <c r="C480" s="17">
        <f>Data!D480</f>
        <v/>
      </c>
      <c r="D480" s="64">
        <f>IFERROR(Data!G480/Data!H480,0)</f>
        <v/>
      </c>
      <c r="E480" s="64">
        <f>IFERROR(Data!L480/Data!K480,0)</f>
        <v/>
      </c>
      <c r="F480" s="65">
        <f>Data!F480-Data!E480</f>
        <v/>
      </c>
      <c r="G480" s="21">
        <f>IFERROR(Data!G480/Data!F480,0)</f>
        <v/>
      </c>
      <c r="H480" s="22">
        <f>IF(ABS(G480-Data!I480)&lt;Summary!$B$4,"OK","CHECK")</f>
        <v/>
      </c>
      <c r="I480" s="1" t="n"/>
      <c r="J480" s="1" t="n"/>
    </row>
    <row r="481">
      <c r="A481" s="17">
        <f>Data!A481</f>
        <v/>
      </c>
      <c r="B481" s="63">
        <f>Data!B481</f>
        <v/>
      </c>
      <c r="C481" s="17">
        <f>Data!D481</f>
        <v/>
      </c>
      <c r="D481" s="64">
        <f>IFERROR(Data!G481/Data!H481,0)</f>
        <v/>
      </c>
      <c r="E481" s="64">
        <f>IFERROR(Data!L481/Data!K481,0)</f>
        <v/>
      </c>
      <c r="F481" s="65">
        <f>Data!F481-Data!E481</f>
        <v/>
      </c>
      <c r="G481" s="21">
        <f>IFERROR(Data!G481/Data!F481,0)</f>
        <v/>
      </c>
      <c r="H481" s="22">
        <f>IF(ABS(G481-Data!I481)&lt;Summary!$B$4,"OK","CHECK")</f>
        <v/>
      </c>
      <c r="I481" s="1" t="n"/>
      <c r="J481" s="1" t="n"/>
    </row>
    <row r="482">
      <c r="A482" s="17">
        <f>Data!A482</f>
        <v/>
      </c>
      <c r="B482" s="63">
        <f>Data!B482</f>
        <v/>
      </c>
      <c r="C482" s="17">
        <f>Data!D482</f>
        <v/>
      </c>
      <c r="D482" s="64">
        <f>IFERROR(Data!G482/Data!H482,0)</f>
        <v/>
      </c>
      <c r="E482" s="64">
        <f>IFERROR(Data!L482/Data!K482,0)</f>
        <v/>
      </c>
      <c r="F482" s="65">
        <f>Data!F482-Data!E482</f>
        <v/>
      </c>
      <c r="G482" s="21">
        <f>IFERROR(Data!G482/Data!F482,0)</f>
        <v/>
      </c>
      <c r="H482" s="22">
        <f>IF(ABS(G482-Data!I482)&lt;Summary!$B$4,"OK","CHECK")</f>
        <v/>
      </c>
      <c r="I482" s="1" t="n"/>
      <c r="J482" s="1" t="n"/>
    </row>
    <row r="483">
      <c r="A483" s="17">
        <f>Data!A483</f>
        <v/>
      </c>
      <c r="B483" s="63">
        <f>Data!B483</f>
        <v/>
      </c>
      <c r="C483" s="17">
        <f>Data!D483</f>
        <v/>
      </c>
      <c r="D483" s="64">
        <f>IFERROR(Data!G483/Data!H483,0)</f>
        <v/>
      </c>
      <c r="E483" s="64">
        <f>IFERROR(Data!L483/Data!K483,0)</f>
        <v/>
      </c>
      <c r="F483" s="65">
        <f>Data!F483-Data!E483</f>
        <v/>
      </c>
      <c r="G483" s="21">
        <f>IFERROR(Data!G483/Data!F483,0)</f>
        <v/>
      </c>
      <c r="H483" s="22">
        <f>IF(ABS(G483-Data!I483)&lt;Summary!$B$4,"OK","CHECK")</f>
        <v/>
      </c>
      <c r="I483" s="1" t="n"/>
      <c r="J483" s="1" t="n"/>
    </row>
    <row r="484">
      <c r="A484" s="17">
        <f>Data!A484</f>
        <v/>
      </c>
      <c r="B484" s="63">
        <f>Data!B484</f>
        <v/>
      </c>
      <c r="C484" s="17">
        <f>Data!D484</f>
        <v/>
      </c>
      <c r="D484" s="64">
        <f>IFERROR(Data!G484/Data!H484,0)</f>
        <v/>
      </c>
      <c r="E484" s="64">
        <f>IFERROR(Data!L484/Data!K484,0)</f>
        <v/>
      </c>
      <c r="F484" s="65">
        <f>Data!F484-Data!E484</f>
        <v/>
      </c>
      <c r="G484" s="21">
        <f>IFERROR(Data!G484/Data!F484,0)</f>
        <v/>
      </c>
      <c r="H484" s="22">
        <f>IF(ABS(G484-Data!I484)&lt;Summary!$B$4,"OK","CHECK")</f>
        <v/>
      </c>
      <c r="I484" s="1" t="n"/>
      <c r="J484" s="1" t="n"/>
    </row>
    <row r="485">
      <c r="A485" s="17">
        <f>Data!A485</f>
        <v/>
      </c>
      <c r="B485" s="63">
        <f>Data!B485</f>
        <v/>
      </c>
      <c r="C485" s="17">
        <f>Data!D485</f>
        <v/>
      </c>
      <c r="D485" s="64">
        <f>IFERROR(Data!G485/Data!H485,0)</f>
        <v/>
      </c>
      <c r="E485" s="64">
        <f>IFERROR(Data!L485/Data!K485,0)</f>
        <v/>
      </c>
      <c r="F485" s="65">
        <f>Data!F485-Data!E485</f>
        <v/>
      </c>
      <c r="G485" s="21">
        <f>IFERROR(Data!G485/Data!F485,0)</f>
        <v/>
      </c>
      <c r="H485" s="22">
        <f>IF(ABS(G485-Data!I485)&lt;Summary!$B$4,"OK","CHECK")</f>
        <v/>
      </c>
      <c r="I485" s="1" t="n"/>
      <c r="J485" s="1" t="n"/>
    </row>
    <row r="486">
      <c r="A486" s="17">
        <f>Data!A486</f>
        <v/>
      </c>
      <c r="B486" s="63">
        <f>Data!B486</f>
        <v/>
      </c>
      <c r="C486" s="17">
        <f>Data!D486</f>
        <v/>
      </c>
      <c r="D486" s="64">
        <f>IFERROR(Data!G486/Data!H486,0)</f>
        <v/>
      </c>
      <c r="E486" s="64">
        <f>IFERROR(Data!L486/Data!K486,0)</f>
        <v/>
      </c>
      <c r="F486" s="65">
        <f>Data!F486-Data!E486</f>
        <v/>
      </c>
      <c r="G486" s="21">
        <f>IFERROR(Data!G486/Data!F486,0)</f>
        <v/>
      </c>
      <c r="H486" s="22">
        <f>IF(ABS(G486-Data!I486)&lt;Summary!$B$4,"OK","CHECK")</f>
        <v/>
      </c>
      <c r="I486" s="1" t="n"/>
      <c r="J486" s="1" t="n"/>
    </row>
    <row r="487">
      <c r="A487" s="17">
        <f>Data!A487</f>
        <v/>
      </c>
      <c r="B487" s="63">
        <f>Data!B487</f>
        <v/>
      </c>
      <c r="C487" s="17">
        <f>Data!D487</f>
        <v/>
      </c>
      <c r="D487" s="64">
        <f>IFERROR(Data!G487/Data!H487,0)</f>
        <v/>
      </c>
      <c r="E487" s="64">
        <f>IFERROR(Data!L487/Data!K487,0)</f>
        <v/>
      </c>
      <c r="F487" s="65">
        <f>Data!F487-Data!E487</f>
        <v/>
      </c>
      <c r="G487" s="21">
        <f>IFERROR(Data!G487/Data!F487,0)</f>
        <v/>
      </c>
      <c r="H487" s="22">
        <f>IF(ABS(G487-Data!I487)&lt;Summary!$B$4,"OK","CHECK")</f>
        <v/>
      </c>
      <c r="I487" s="1" t="n"/>
      <c r="J487" s="1" t="n"/>
    </row>
    <row r="488">
      <c r="A488" s="17">
        <f>Data!A488</f>
        <v/>
      </c>
      <c r="B488" s="63">
        <f>Data!B488</f>
        <v/>
      </c>
      <c r="C488" s="17">
        <f>Data!D488</f>
        <v/>
      </c>
      <c r="D488" s="64">
        <f>IFERROR(Data!G488/Data!H488,0)</f>
        <v/>
      </c>
      <c r="E488" s="64">
        <f>IFERROR(Data!L488/Data!K488,0)</f>
        <v/>
      </c>
      <c r="F488" s="65">
        <f>Data!F488-Data!E488</f>
        <v/>
      </c>
      <c r="G488" s="21">
        <f>IFERROR(Data!G488/Data!F488,0)</f>
        <v/>
      </c>
      <c r="H488" s="22">
        <f>IF(ABS(G488-Data!I488)&lt;Summary!$B$4,"OK","CHECK")</f>
        <v/>
      </c>
      <c r="I488" s="1" t="n"/>
      <c r="J488" s="1" t="n"/>
    </row>
    <row r="489">
      <c r="A489" s="17">
        <f>Data!A489</f>
        <v/>
      </c>
      <c r="B489" s="63">
        <f>Data!B489</f>
        <v/>
      </c>
      <c r="C489" s="17">
        <f>Data!D489</f>
        <v/>
      </c>
      <c r="D489" s="64">
        <f>IFERROR(Data!G489/Data!H489,0)</f>
        <v/>
      </c>
      <c r="E489" s="64">
        <f>IFERROR(Data!L489/Data!K489,0)</f>
        <v/>
      </c>
      <c r="F489" s="65">
        <f>Data!F489-Data!E489</f>
        <v/>
      </c>
      <c r="G489" s="21">
        <f>IFERROR(Data!G489/Data!F489,0)</f>
        <v/>
      </c>
      <c r="H489" s="22">
        <f>IF(ABS(G489-Data!I489)&lt;Summary!$B$4,"OK","CHECK")</f>
        <v/>
      </c>
      <c r="I489" s="1" t="n"/>
      <c r="J489" s="1" t="n"/>
    </row>
    <row r="490">
      <c r="A490" s="17">
        <f>Data!A490</f>
        <v/>
      </c>
      <c r="B490" s="63">
        <f>Data!B490</f>
        <v/>
      </c>
      <c r="C490" s="17">
        <f>Data!D490</f>
        <v/>
      </c>
      <c r="D490" s="64">
        <f>IFERROR(Data!G490/Data!H490,0)</f>
        <v/>
      </c>
      <c r="E490" s="64">
        <f>IFERROR(Data!L490/Data!K490,0)</f>
        <v/>
      </c>
      <c r="F490" s="65">
        <f>Data!F490-Data!E490</f>
        <v/>
      </c>
      <c r="G490" s="21">
        <f>IFERROR(Data!G490/Data!F490,0)</f>
        <v/>
      </c>
      <c r="H490" s="22">
        <f>IF(ABS(G490-Data!I490)&lt;Summary!$B$4,"OK","CHECK")</f>
        <v/>
      </c>
      <c r="I490" s="1" t="n"/>
      <c r="J490" s="1" t="n"/>
    </row>
    <row r="491">
      <c r="A491" s="17">
        <f>Data!A491</f>
        <v/>
      </c>
      <c r="B491" s="63">
        <f>Data!B491</f>
        <v/>
      </c>
      <c r="C491" s="17">
        <f>Data!D491</f>
        <v/>
      </c>
      <c r="D491" s="64">
        <f>IFERROR(Data!G491/Data!H491,0)</f>
        <v/>
      </c>
      <c r="E491" s="64">
        <f>IFERROR(Data!L491/Data!K491,0)</f>
        <v/>
      </c>
      <c r="F491" s="65">
        <f>Data!F491-Data!E491</f>
        <v/>
      </c>
      <c r="G491" s="21">
        <f>IFERROR(Data!G491/Data!F491,0)</f>
        <v/>
      </c>
      <c r="H491" s="22">
        <f>IF(ABS(G491-Data!I491)&lt;Summary!$B$4,"OK","CHECK")</f>
        <v/>
      </c>
      <c r="I491" s="1" t="n"/>
      <c r="J491" s="1" t="n"/>
    </row>
    <row r="492">
      <c r="A492" s="17">
        <f>Data!A492</f>
        <v/>
      </c>
      <c r="B492" s="63">
        <f>Data!B492</f>
        <v/>
      </c>
      <c r="C492" s="17">
        <f>Data!D492</f>
        <v/>
      </c>
      <c r="D492" s="64">
        <f>IFERROR(Data!G492/Data!H492,0)</f>
        <v/>
      </c>
      <c r="E492" s="64">
        <f>IFERROR(Data!L492/Data!K492,0)</f>
        <v/>
      </c>
      <c r="F492" s="65">
        <f>Data!F492-Data!E492</f>
        <v/>
      </c>
      <c r="G492" s="21">
        <f>IFERROR(Data!G492/Data!F492,0)</f>
        <v/>
      </c>
      <c r="H492" s="22">
        <f>IF(ABS(G492-Data!I492)&lt;Summary!$B$4,"OK","CHECK")</f>
        <v/>
      </c>
      <c r="I492" s="1" t="n"/>
      <c r="J492" s="1" t="n"/>
    </row>
    <row r="493">
      <c r="A493" s="17">
        <f>Data!A493</f>
        <v/>
      </c>
      <c r="B493" s="63">
        <f>Data!B493</f>
        <v/>
      </c>
      <c r="C493" s="17">
        <f>Data!D493</f>
        <v/>
      </c>
      <c r="D493" s="64">
        <f>IFERROR(Data!G493/Data!H493,0)</f>
        <v/>
      </c>
      <c r="E493" s="64">
        <f>IFERROR(Data!L493/Data!K493,0)</f>
        <v/>
      </c>
      <c r="F493" s="65">
        <f>Data!F493-Data!E493</f>
        <v/>
      </c>
      <c r="G493" s="21">
        <f>IFERROR(Data!G493/Data!F493,0)</f>
        <v/>
      </c>
      <c r="H493" s="22">
        <f>IF(ABS(G493-Data!I493)&lt;Summary!$B$4,"OK","CHECK")</f>
        <v/>
      </c>
      <c r="I493" s="1" t="n"/>
      <c r="J493" s="1" t="n"/>
    </row>
    <row r="494">
      <c r="A494" s="17">
        <f>Data!A494</f>
        <v/>
      </c>
      <c r="B494" s="63">
        <f>Data!B494</f>
        <v/>
      </c>
      <c r="C494" s="17">
        <f>Data!D494</f>
        <v/>
      </c>
      <c r="D494" s="64">
        <f>IFERROR(Data!G494/Data!H494,0)</f>
        <v/>
      </c>
      <c r="E494" s="64">
        <f>IFERROR(Data!L494/Data!K494,0)</f>
        <v/>
      </c>
      <c r="F494" s="65">
        <f>Data!F494-Data!E494</f>
        <v/>
      </c>
      <c r="G494" s="21">
        <f>IFERROR(Data!G494/Data!F494,0)</f>
        <v/>
      </c>
      <c r="H494" s="22">
        <f>IF(ABS(G494-Data!I494)&lt;Summary!$B$4,"OK","CHECK")</f>
        <v/>
      </c>
      <c r="I494" s="1" t="n"/>
      <c r="J494" s="1" t="n"/>
    </row>
    <row r="495">
      <c r="A495" s="17">
        <f>Data!A495</f>
        <v/>
      </c>
      <c r="B495" s="63">
        <f>Data!B495</f>
        <v/>
      </c>
      <c r="C495" s="17">
        <f>Data!D495</f>
        <v/>
      </c>
      <c r="D495" s="64">
        <f>IFERROR(Data!G495/Data!H495,0)</f>
        <v/>
      </c>
      <c r="E495" s="64">
        <f>IFERROR(Data!L495/Data!K495,0)</f>
        <v/>
      </c>
      <c r="F495" s="65">
        <f>Data!F495-Data!E495</f>
        <v/>
      </c>
      <c r="G495" s="21">
        <f>IFERROR(Data!G495/Data!F495,0)</f>
        <v/>
      </c>
      <c r="H495" s="22">
        <f>IF(ABS(G495-Data!I495)&lt;Summary!$B$4,"OK","CHECK")</f>
        <v/>
      </c>
      <c r="I495" s="1" t="n"/>
      <c r="J495" s="1" t="n"/>
    </row>
    <row r="496">
      <c r="A496" s="17">
        <f>Data!A496</f>
        <v/>
      </c>
      <c r="B496" s="63">
        <f>Data!B496</f>
        <v/>
      </c>
      <c r="C496" s="17">
        <f>Data!D496</f>
        <v/>
      </c>
      <c r="D496" s="64">
        <f>IFERROR(Data!G496/Data!H496,0)</f>
        <v/>
      </c>
      <c r="E496" s="64">
        <f>IFERROR(Data!L496/Data!K496,0)</f>
        <v/>
      </c>
      <c r="F496" s="65">
        <f>Data!F496-Data!E496</f>
        <v/>
      </c>
      <c r="G496" s="21">
        <f>IFERROR(Data!G496/Data!F496,0)</f>
        <v/>
      </c>
      <c r="H496" s="22">
        <f>IF(ABS(G496-Data!I496)&lt;Summary!$B$4,"OK","CHECK")</f>
        <v/>
      </c>
      <c r="I496" s="1" t="n"/>
      <c r="J496" s="1" t="n"/>
    </row>
    <row r="497">
      <c r="A497" s="17">
        <f>Data!A497</f>
        <v/>
      </c>
      <c r="B497" s="63">
        <f>Data!B497</f>
        <v/>
      </c>
      <c r="C497" s="17">
        <f>Data!D497</f>
        <v/>
      </c>
      <c r="D497" s="64">
        <f>IFERROR(Data!G497/Data!H497,0)</f>
        <v/>
      </c>
      <c r="E497" s="64">
        <f>IFERROR(Data!L497/Data!K497,0)</f>
        <v/>
      </c>
      <c r="F497" s="65">
        <f>Data!F497-Data!E497</f>
        <v/>
      </c>
      <c r="G497" s="21">
        <f>IFERROR(Data!G497/Data!F497,0)</f>
        <v/>
      </c>
      <c r="H497" s="22">
        <f>IF(ABS(G497-Data!I497)&lt;Summary!$B$4,"OK","CHECK")</f>
        <v/>
      </c>
      <c r="I497" s="1" t="n"/>
      <c r="J497" s="1" t="n"/>
    </row>
    <row r="498">
      <c r="A498" s="17">
        <f>Data!A498</f>
        <v/>
      </c>
      <c r="B498" s="63">
        <f>Data!B498</f>
        <v/>
      </c>
      <c r="C498" s="17">
        <f>Data!D498</f>
        <v/>
      </c>
      <c r="D498" s="64">
        <f>IFERROR(Data!G498/Data!H498,0)</f>
        <v/>
      </c>
      <c r="E498" s="64">
        <f>IFERROR(Data!L498/Data!K498,0)</f>
        <v/>
      </c>
      <c r="F498" s="65">
        <f>Data!F498-Data!E498</f>
        <v/>
      </c>
      <c r="G498" s="21">
        <f>IFERROR(Data!G498/Data!F498,0)</f>
        <v/>
      </c>
      <c r="H498" s="22">
        <f>IF(ABS(G498-Data!I498)&lt;Summary!$B$4,"OK","CHECK")</f>
        <v/>
      </c>
      <c r="I498" s="1" t="n"/>
      <c r="J498" s="1" t="n"/>
    </row>
    <row r="499">
      <c r="A499" s="17">
        <f>Data!A499</f>
        <v/>
      </c>
      <c r="B499" s="63">
        <f>Data!B499</f>
        <v/>
      </c>
      <c r="C499" s="17">
        <f>Data!D499</f>
        <v/>
      </c>
      <c r="D499" s="64">
        <f>IFERROR(Data!G499/Data!H499,0)</f>
        <v/>
      </c>
      <c r="E499" s="64">
        <f>IFERROR(Data!L499/Data!K499,0)</f>
        <v/>
      </c>
      <c r="F499" s="65">
        <f>Data!F499-Data!E499</f>
        <v/>
      </c>
      <c r="G499" s="21">
        <f>IFERROR(Data!G499/Data!F499,0)</f>
        <v/>
      </c>
      <c r="H499" s="22">
        <f>IF(ABS(G499-Data!I499)&lt;Summary!$B$4,"OK","CHECK")</f>
        <v/>
      </c>
      <c r="I499" s="1" t="n"/>
      <c r="J499" s="1" t="n"/>
    </row>
    <row r="500">
      <c r="A500" s="17">
        <f>Data!A500</f>
        <v/>
      </c>
      <c r="B500" s="63">
        <f>Data!B500</f>
        <v/>
      </c>
      <c r="C500" s="17">
        <f>Data!D500</f>
        <v/>
      </c>
      <c r="D500" s="64">
        <f>IFERROR(Data!G500/Data!H500,0)</f>
        <v/>
      </c>
      <c r="E500" s="64">
        <f>IFERROR(Data!L500/Data!K500,0)</f>
        <v/>
      </c>
      <c r="F500" s="65">
        <f>Data!F500-Data!E500</f>
        <v/>
      </c>
      <c r="G500" s="21">
        <f>IFERROR(Data!G500/Data!F500,0)</f>
        <v/>
      </c>
      <c r="H500" s="22">
        <f>IF(ABS(G500-Data!I500)&lt;Summary!$B$4,"OK","CHECK")</f>
        <v/>
      </c>
      <c r="I500" s="1" t="n"/>
      <c r="J500" s="1" t="n"/>
    </row>
    <row r="501">
      <c r="A501" s="17">
        <f>Data!A501</f>
        <v/>
      </c>
      <c r="B501" s="63">
        <f>Data!B501</f>
        <v/>
      </c>
      <c r="C501" s="17">
        <f>Data!D501</f>
        <v/>
      </c>
      <c r="D501" s="64">
        <f>IFERROR(Data!G501/Data!H501,0)</f>
        <v/>
      </c>
      <c r="E501" s="64">
        <f>IFERROR(Data!L501/Data!K501,0)</f>
        <v/>
      </c>
      <c r="F501" s="65">
        <f>Data!F501-Data!E501</f>
        <v/>
      </c>
      <c r="G501" s="21">
        <f>IFERROR(Data!G501/Data!F501,0)</f>
        <v/>
      </c>
      <c r="H501" s="22">
        <f>IF(ABS(G501-Data!I501)&lt;Summary!$B$4,"OK","CHECK")</f>
        <v/>
      </c>
      <c r="I501" s="1" t="n"/>
      <c r="J501" s="1" t="n"/>
    </row>
    <row r="502">
      <c r="A502" s="17">
        <f>Data!A502</f>
        <v/>
      </c>
      <c r="B502" s="63">
        <f>Data!B502</f>
        <v/>
      </c>
      <c r="C502" s="17">
        <f>Data!D502</f>
        <v/>
      </c>
      <c r="D502" s="64">
        <f>IFERROR(Data!G502/Data!H502,0)</f>
        <v/>
      </c>
      <c r="E502" s="64">
        <f>IFERROR(Data!L502/Data!K502,0)</f>
        <v/>
      </c>
      <c r="F502" s="65">
        <f>Data!F502-Data!E502</f>
        <v/>
      </c>
      <c r="G502" s="21">
        <f>IFERROR(Data!G502/Data!F502,0)</f>
        <v/>
      </c>
      <c r="H502" s="22">
        <f>IF(ABS(G502-Data!I502)&lt;Summary!$B$4,"OK","CHECK")</f>
        <v/>
      </c>
      <c r="I502" s="1" t="n"/>
      <c r="J502" s="1" t="n"/>
    </row>
    <row r="503">
      <c r="A503" s="17">
        <f>Data!A503</f>
        <v/>
      </c>
      <c r="B503" s="63">
        <f>Data!B503</f>
        <v/>
      </c>
      <c r="C503" s="17">
        <f>Data!D503</f>
        <v/>
      </c>
      <c r="D503" s="64">
        <f>IFERROR(Data!G503/Data!H503,0)</f>
        <v/>
      </c>
      <c r="E503" s="64">
        <f>IFERROR(Data!L503/Data!K503,0)</f>
        <v/>
      </c>
      <c r="F503" s="65">
        <f>Data!F503-Data!E503</f>
        <v/>
      </c>
      <c r="G503" s="21">
        <f>IFERROR(Data!G503/Data!F503,0)</f>
        <v/>
      </c>
      <c r="H503" s="22">
        <f>IF(ABS(G503-Data!I503)&lt;Summary!$B$4,"OK","CHECK")</f>
        <v/>
      </c>
      <c r="I503" s="1" t="n"/>
      <c r="J503" s="1" t="n"/>
    </row>
    <row r="504">
      <c r="A504" s="17">
        <f>Data!A504</f>
        <v/>
      </c>
      <c r="B504" s="63">
        <f>Data!B504</f>
        <v/>
      </c>
      <c r="C504" s="17">
        <f>Data!D504</f>
        <v/>
      </c>
      <c r="D504" s="64">
        <f>IFERROR(Data!G504/Data!H504,0)</f>
        <v/>
      </c>
      <c r="E504" s="64">
        <f>IFERROR(Data!L504/Data!K504,0)</f>
        <v/>
      </c>
      <c r="F504" s="65">
        <f>Data!F504-Data!E504</f>
        <v/>
      </c>
      <c r="G504" s="21">
        <f>IFERROR(Data!G504/Data!F504,0)</f>
        <v/>
      </c>
      <c r="H504" s="22">
        <f>IF(ABS(G504-Data!I504)&lt;Summary!$B$4,"OK","CHECK")</f>
        <v/>
      </c>
      <c r="I504" s="1" t="n"/>
      <c r="J504" s="1" t="n"/>
    </row>
    <row r="505">
      <c r="A505" s="17">
        <f>Data!A505</f>
        <v/>
      </c>
      <c r="B505" s="63">
        <f>Data!B505</f>
        <v/>
      </c>
      <c r="C505" s="17">
        <f>Data!D505</f>
        <v/>
      </c>
      <c r="D505" s="64">
        <f>IFERROR(Data!G505/Data!H505,0)</f>
        <v/>
      </c>
      <c r="E505" s="64">
        <f>IFERROR(Data!L505/Data!K505,0)</f>
        <v/>
      </c>
      <c r="F505" s="65">
        <f>Data!F505-Data!E505</f>
        <v/>
      </c>
      <c r="G505" s="21">
        <f>IFERROR(Data!G505/Data!F505,0)</f>
        <v/>
      </c>
      <c r="H505" s="22">
        <f>IF(ABS(G505-Data!I505)&lt;Summary!$B$4,"OK","CHECK")</f>
        <v/>
      </c>
      <c r="I505" s="1" t="n"/>
      <c r="J505" s="1" t="n"/>
    </row>
    <row r="506">
      <c r="A506" s="17">
        <f>Data!A506</f>
        <v/>
      </c>
      <c r="B506" s="63">
        <f>Data!B506</f>
        <v/>
      </c>
      <c r="C506" s="17">
        <f>Data!D506</f>
        <v/>
      </c>
      <c r="D506" s="64">
        <f>IFERROR(Data!G506/Data!H506,0)</f>
        <v/>
      </c>
      <c r="E506" s="64">
        <f>IFERROR(Data!L506/Data!K506,0)</f>
        <v/>
      </c>
      <c r="F506" s="65">
        <f>Data!F506-Data!E506</f>
        <v/>
      </c>
      <c r="G506" s="21">
        <f>IFERROR(Data!G506/Data!F506,0)</f>
        <v/>
      </c>
      <c r="H506" s="22">
        <f>IF(ABS(G506-Data!I506)&lt;Summary!$B$4,"OK","CHECK")</f>
        <v/>
      </c>
      <c r="I506" s="1" t="n"/>
      <c r="J506" s="1" t="n"/>
    </row>
    <row r="507">
      <c r="A507" s="17">
        <f>Data!A507</f>
        <v/>
      </c>
      <c r="B507" s="63">
        <f>Data!B507</f>
        <v/>
      </c>
      <c r="C507" s="17">
        <f>Data!D507</f>
        <v/>
      </c>
      <c r="D507" s="64">
        <f>IFERROR(Data!G507/Data!H507,0)</f>
        <v/>
      </c>
      <c r="E507" s="64">
        <f>IFERROR(Data!L507/Data!K507,0)</f>
        <v/>
      </c>
      <c r="F507" s="65">
        <f>Data!F507-Data!E507</f>
        <v/>
      </c>
      <c r="G507" s="21">
        <f>IFERROR(Data!G507/Data!F507,0)</f>
        <v/>
      </c>
      <c r="H507" s="22">
        <f>IF(ABS(G507-Data!I507)&lt;Summary!$B$4,"OK","CHECK")</f>
        <v/>
      </c>
      <c r="I507" s="1" t="n"/>
      <c r="J507" s="1" t="n"/>
    </row>
    <row r="508">
      <c r="A508" s="17">
        <f>Data!A508</f>
        <v/>
      </c>
      <c r="B508" s="63">
        <f>Data!B508</f>
        <v/>
      </c>
      <c r="C508" s="17">
        <f>Data!D508</f>
        <v/>
      </c>
      <c r="D508" s="64">
        <f>IFERROR(Data!G508/Data!H508,0)</f>
        <v/>
      </c>
      <c r="E508" s="64">
        <f>IFERROR(Data!L508/Data!K508,0)</f>
        <v/>
      </c>
      <c r="F508" s="65">
        <f>Data!F508-Data!E508</f>
        <v/>
      </c>
      <c r="G508" s="21">
        <f>IFERROR(Data!G508/Data!F508,0)</f>
        <v/>
      </c>
      <c r="H508" s="22">
        <f>IF(ABS(G508-Data!I508)&lt;Summary!$B$4,"OK","CHECK")</f>
        <v/>
      </c>
      <c r="I508" s="1" t="n"/>
      <c r="J508" s="1" t="n"/>
    </row>
    <row r="509">
      <c r="A509" s="17">
        <f>Data!A509</f>
        <v/>
      </c>
      <c r="B509" s="63">
        <f>Data!B509</f>
        <v/>
      </c>
      <c r="C509" s="17">
        <f>Data!D509</f>
        <v/>
      </c>
      <c r="D509" s="64">
        <f>IFERROR(Data!G509/Data!H509,0)</f>
        <v/>
      </c>
      <c r="E509" s="64">
        <f>IFERROR(Data!L509/Data!K509,0)</f>
        <v/>
      </c>
      <c r="F509" s="65">
        <f>Data!F509-Data!E509</f>
        <v/>
      </c>
      <c r="G509" s="21">
        <f>IFERROR(Data!G509/Data!F509,0)</f>
        <v/>
      </c>
      <c r="H509" s="22">
        <f>IF(ABS(G509-Data!I509)&lt;Summary!$B$4,"OK","CHECK")</f>
        <v/>
      </c>
      <c r="I509" s="1" t="n"/>
      <c r="J509" s="1" t="n"/>
    </row>
    <row r="510">
      <c r="A510" s="17">
        <f>Data!A510</f>
        <v/>
      </c>
      <c r="B510" s="63">
        <f>Data!B510</f>
        <v/>
      </c>
      <c r="C510" s="17">
        <f>Data!D510</f>
        <v/>
      </c>
      <c r="D510" s="64">
        <f>IFERROR(Data!G510/Data!H510,0)</f>
        <v/>
      </c>
      <c r="E510" s="64">
        <f>IFERROR(Data!L510/Data!K510,0)</f>
        <v/>
      </c>
      <c r="F510" s="65">
        <f>Data!F510-Data!E510</f>
        <v/>
      </c>
      <c r="G510" s="21">
        <f>IFERROR(Data!G510/Data!F510,0)</f>
        <v/>
      </c>
      <c r="H510" s="22">
        <f>IF(ABS(G510-Data!I510)&lt;Summary!$B$4,"OK","CHECK")</f>
        <v/>
      </c>
      <c r="I510" s="1" t="n"/>
      <c r="J510" s="1" t="n"/>
    </row>
    <row r="511">
      <c r="A511" s="17">
        <f>Data!A511</f>
        <v/>
      </c>
      <c r="B511" s="63">
        <f>Data!B511</f>
        <v/>
      </c>
      <c r="C511" s="17">
        <f>Data!D511</f>
        <v/>
      </c>
      <c r="D511" s="64">
        <f>IFERROR(Data!G511/Data!H511,0)</f>
        <v/>
      </c>
      <c r="E511" s="64">
        <f>IFERROR(Data!L511/Data!K511,0)</f>
        <v/>
      </c>
      <c r="F511" s="65">
        <f>Data!F511-Data!E511</f>
        <v/>
      </c>
      <c r="G511" s="21">
        <f>IFERROR(Data!G511/Data!F511,0)</f>
        <v/>
      </c>
      <c r="H511" s="22">
        <f>IF(ABS(G511-Data!I511)&lt;Summary!$B$4,"OK","CHECK")</f>
        <v/>
      </c>
      <c r="I511" s="1" t="n"/>
      <c r="J511" s="1" t="n"/>
    </row>
    <row r="512">
      <c r="A512" s="17">
        <f>Data!A512</f>
        <v/>
      </c>
      <c r="B512" s="63">
        <f>Data!B512</f>
        <v/>
      </c>
      <c r="C512" s="17">
        <f>Data!D512</f>
        <v/>
      </c>
      <c r="D512" s="64">
        <f>IFERROR(Data!G512/Data!H512,0)</f>
        <v/>
      </c>
      <c r="E512" s="64">
        <f>IFERROR(Data!L512/Data!K512,0)</f>
        <v/>
      </c>
      <c r="F512" s="65">
        <f>Data!F512-Data!E512</f>
        <v/>
      </c>
      <c r="G512" s="21">
        <f>IFERROR(Data!G512/Data!F512,0)</f>
        <v/>
      </c>
      <c r="H512" s="22">
        <f>IF(ABS(G512-Data!I512)&lt;Summary!$B$4,"OK","CHECK")</f>
        <v/>
      </c>
      <c r="I512" s="1" t="n"/>
      <c r="J512" s="1" t="n"/>
    </row>
    <row r="513">
      <c r="A513" s="17">
        <f>Data!A513</f>
        <v/>
      </c>
      <c r="B513" s="63">
        <f>Data!B513</f>
        <v/>
      </c>
      <c r="C513" s="17">
        <f>Data!D513</f>
        <v/>
      </c>
      <c r="D513" s="64">
        <f>IFERROR(Data!G513/Data!H513,0)</f>
        <v/>
      </c>
      <c r="E513" s="64">
        <f>IFERROR(Data!L513/Data!K513,0)</f>
        <v/>
      </c>
      <c r="F513" s="65">
        <f>Data!F513-Data!E513</f>
        <v/>
      </c>
      <c r="G513" s="21">
        <f>IFERROR(Data!G513/Data!F513,0)</f>
        <v/>
      </c>
      <c r="H513" s="22">
        <f>IF(ABS(G513-Data!I513)&lt;Summary!$B$4,"OK","CHECK")</f>
        <v/>
      </c>
      <c r="I513" s="1" t="n"/>
      <c r="J513" s="1" t="n"/>
    </row>
    <row r="514">
      <c r="A514" s="17">
        <f>Data!A514</f>
        <v/>
      </c>
      <c r="B514" s="63">
        <f>Data!B514</f>
        <v/>
      </c>
      <c r="C514" s="17">
        <f>Data!D514</f>
        <v/>
      </c>
      <c r="D514" s="64">
        <f>IFERROR(Data!G514/Data!H514,0)</f>
        <v/>
      </c>
      <c r="E514" s="64">
        <f>IFERROR(Data!L514/Data!K514,0)</f>
        <v/>
      </c>
      <c r="F514" s="65">
        <f>Data!F514-Data!E514</f>
        <v/>
      </c>
      <c r="G514" s="21">
        <f>IFERROR(Data!G514/Data!F514,0)</f>
        <v/>
      </c>
      <c r="H514" s="22">
        <f>IF(ABS(G514-Data!I514)&lt;Summary!$B$4,"OK","CHECK")</f>
        <v/>
      </c>
      <c r="I514" s="1" t="n"/>
      <c r="J514" s="1" t="n"/>
    </row>
    <row r="515">
      <c r="A515" s="17">
        <f>Data!A515</f>
        <v/>
      </c>
      <c r="B515" s="63">
        <f>Data!B515</f>
        <v/>
      </c>
      <c r="C515" s="17">
        <f>Data!D515</f>
        <v/>
      </c>
      <c r="D515" s="64">
        <f>IFERROR(Data!G515/Data!H515,0)</f>
        <v/>
      </c>
      <c r="E515" s="64">
        <f>IFERROR(Data!L515/Data!K515,0)</f>
        <v/>
      </c>
      <c r="F515" s="65">
        <f>Data!F515-Data!E515</f>
        <v/>
      </c>
      <c r="G515" s="21">
        <f>IFERROR(Data!G515/Data!F515,0)</f>
        <v/>
      </c>
      <c r="H515" s="22">
        <f>IF(ABS(G515-Data!I515)&lt;Summary!$B$4,"OK","CHECK")</f>
        <v/>
      </c>
      <c r="I515" s="1" t="n"/>
      <c r="J515" s="1" t="n"/>
    </row>
    <row r="516">
      <c r="A516" s="17">
        <f>Data!A516</f>
        <v/>
      </c>
      <c r="B516" s="63">
        <f>Data!B516</f>
        <v/>
      </c>
      <c r="C516" s="17">
        <f>Data!D516</f>
        <v/>
      </c>
      <c r="D516" s="64">
        <f>IFERROR(Data!G516/Data!H516,0)</f>
        <v/>
      </c>
      <c r="E516" s="64">
        <f>IFERROR(Data!L516/Data!K516,0)</f>
        <v/>
      </c>
      <c r="F516" s="65">
        <f>Data!F516-Data!E516</f>
        <v/>
      </c>
      <c r="G516" s="21">
        <f>IFERROR(Data!G516/Data!F516,0)</f>
        <v/>
      </c>
      <c r="H516" s="22">
        <f>IF(ABS(G516-Data!I516)&lt;Summary!$B$4,"OK","CHECK")</f>
        <v/>
      </c>
      <c r="I516" s="1" t="n"/>
      <c r="J516" s="1" t="n"/>
    </row>
    <row r="517">
      <c r="A517" s="17">
        <f>Data!A517</f>
        <v/>
      </c>
      <c r="B517" s="63">
        <f>Data!B517</f>
        <v/>
      </c>
      <c r="C517" s="17">
        <f>Data!D517</f>
        <v/>
      </c>
      <c r="D517" s="64">
        <f>IFERROR(Data!G517/Data!H517,0)</f>
        <v/>
      </c>
      <c r="E517" s="64">
        <f>IFERROR(Data!L517/Data!K517,0)</f>
        <v/>
      </c>
      <c r="F517" s="65">
        <f>Data!F517-Data!E517</f>
        <v/>
      </c>
      <c r="G517" s="21">
        <f>IFERROR(Data!G517/Data!F517,0)</f>
        <v/>
      </c>
      <c r="H517" s="22">
        <f>IF(ABS(G517-Data!I517)&lt;Summary!$B$4,"OK","CHECK")</f>
        <v/>
      </c>
      <c r="I517" s="1" t="n"/>
      <c r="J517" s="1" t="n"/>
    </row>
    <row r="518">
      <c r="A518" s="17">
        <f>Data!A518</f>
        <v/>
      </c>
      <c r="B518" s="63">
        <f>Data!B518</f>
        <v/>
      </c>
      <c r="C518" s="17">
        <f>Data!D518</f>
        <v/>
      </c>
      <c r="D518" s="64">
        <f>IFERROR(Data!G518/Data!H518,0)</f>
        <v/>
      </c>
      <c r="E518" s="64">
        <f>IFERROR(Data!L518/Data!K518,0)</f>
        <v/>
      </c>
      <c r="F518" s="65">
        <f>Data!F518-Data!E518</f>
        <v/>
      </c>
      <c r="G518" s="21">
        <f>IFERROR(Data!G518/Data!F518,0)</f>
        <v/>
      </c>
      <c r="H518" s="22">
        <f>IF(ABS(G518-Data!I518)&lt;Summary!$B$4,"OK","CHECK")</f>
        <v/>
      </c>
      <c r="I518" s="1" t="n"/>
      <c r="J518" s="1" t="n"/>
    </row>
    <row r="519">
      <c r="A519" s="17">
        <f>Data!A519</f>
        <v/>
      </c>
      <c r="B519" s="63">
        <f>Data!B519</f>
        <v/>
      </c>
      <c r="C519" s="17">
        <f>Data!D519</f>
        <v/>
      </c>
      <c r="D519" s="64">
        <f>IFERROR(Data!G519/Data!H519,0)</f>
        <v/>
      </c>
      <c r="E519" s="64">
        <f>IFERROR(Data!L519/Data!K519,0)</f>
        <v/>
      </c>
      <c r="F519" s="65">
        <f>Data!F519-Data!E519</f>
        <v/>
      </c>
      <c r="G519" s="21">
        <f>IFERROR(Data!G519/Data!F519,0)</f>
        <v/>
      </c>
      <c r="H519" s="22">
        <f>IF(ABS(G519-Data!I519)&lt;Summary!$B$4,"OK","CHECK")</f>
        <v/>
      </c>
      <c r="I519" s="1" t="n"/>
      <c r="J519" s="1" t="n"/>
    </row>
    <row r="520">
      <c r="A520" s="17">
        <f>Data!A520</f>
        <v/>
      </c>
      <c r="B520" s="63">
        <f>Data!B520</f>
        <v/>
      </c>
      <c r="C520" s="17">
        <f>Data!D520</f>
        <v/>
      </c>
      <c r="D520" s="64">
        <f>IFERROR(Data!G520/Data!H520,0)</f>
        <v/>
      </c>
      <c r="E520" s="64">
        <f>IFERROR(Data!L520/Data!K520,0)</f>
        <v/>
      </c>
      <c r="F520" s="65">
        <f>Data!F520-Data!E520</f>
        <v/>
      </c>
      <c r="G520" s="21">
        <f>IFERROR(Data!G520/Data!F520,0)</f>
        <v/>
      </c>
      <c r="H520" s="22">
        <f>IF(ABS(G520-Data!I520)&lt;Summary!$B$4,"OK","CHECK")</f>
        <v/>
      </c>
      <c r="I520" s="1" t="n"/>
      <c r="J520" s="1" t="n"/>
    </row>
    <row r="521">
      <c r="A521" s="17">
        <f>Data!A521</f>
        <v/>
      </c>
      <c r="B521" s="63">
        <f>Data!B521</f>
        <v/>
      </c>
      <c r="C521" s="17">
        <f>Data!D521</f>
        <v/>
      </c>
      <c r="D521" s="64">
        <f>IFERROR(Data!G521/Data!H521,0)</f>
        <v/>
      </c>
      <c r="E521" s="64">
        <f>IFERROR(Data!L521/Data!K521,0)</f>
        <v/>
      </c>
      <c r="F521" s="65">
        <f>Data!F521-Data!E521</f>
        <v/>
      </c>
      <c r="G521" s="21">
        <f>IFERROR(Data!G521/Data!F521,0)</f>
        <v/>
      </c>
      <c r="H521" s="22">
        <f>IF(ABS(G521-Data!I521)&lt;Summary!$B$4,"OK","CHECK")</f>
        <v/>
      </c>
      <c r="I521" s="1" t="n"/>
      <c r="J521" s="1" t="n"/>
    </row>
    <row r="522">
      <c r="A522" s="17">
        <f>Data!A522</f>
        <v/>
      </c>
      <c r="B522" s="63">
        <f>Data!B522</f>
        <v/>
      </c>
      <c r="C522" s="17">
        <f>Data!D522</f>
        <v/>
      </c>
      <c r="D522" s="64">
        <f>IFERROR(Data!G522/Data!H522,0)</f>
        <v/>
      </c>
      <c r="E522" s="64">
        <f>IFERROR(Data!L522/Data!K522,0)</f>
        <v/>
      </c>
      <c r="F522" s="65">
        <f>Data!F522-Data!E522</f>
        <v/>
      </c>
      <c r="G522" s="21">
        <f>IFERROR(Data!G522/Data!F522,0)</f>
        <v/>
      </c>
      <c r="H522" s="22">
        <f>IF(ABS(G522-Data!I522)&lt;Summary!$B$4,"OK","CHECK")</f>
        <v/>
      </c>
      <c r="I522" s="1" t="n"/>
      <c r="J522" s="1" t="n"/>
    </row>
    <row r="523">
      <c r="A523" s="17">
        <f>Data!A523</f>
        <v/>
      </c>
      <c r="B523" s="63">
        <f>Data!B523</f>
        <v/>
      </c>
      <c r="C523" s="17">
        <f>Data!D523</f>
        <v/>
      </c>
      <c r="D523" s="64">
        <f>IFERROR(Data!G523/Data!H523,0)</f>
        <v/>
      </c>
      <c r="E523" s="64">
        <f>IFERROR(Data!L523/Data!K523,0)</f>
        <v/>
      </c>
      <c r="F523" s="65">
        <f>Data!F523-Data!E523</f>
        <v/>
      </c>
      <c r="G523" s="21">
        <f>IFERROR(Data!G523/Data!F523,0)</f>
        <v/>
      </c>
      <c r="H523" s="22">
        <f>IF(ABS(G523-Data!I523)&lt;Summary!$B$4,"OK","CHECK")</f>
        <v/>
      </c>
      <c r="I523" s="1" t="n"/>
      <c r="J523" s="1" t="n"/>
    </row>
    <row r="524">
      <c r="A524" s="17">
        <f>Data!A524</f>
        <v/>
      </c>
      <c r="B524" s="63">
        <f>Data!B524</f>
        <v/>
      </c>
      <c r="C524" s="17">
        <f>Data!D524</f>
        <v/>
      </c>
      <c r="D524" s="64">
        <f>IFERROR(Data!G524/Data!H524,0)</f>
        <v/>
      </c>
      <c r="E524" s="64">
        <f>IFERROR(Data!L524/Data!K524,0)</f>
        <v/>
      </c>
      <c r="F524" s="65">
        <f>Data!F524-Data!E524</f>
        <v/>
      </c>
      <c r="G524" s="21">
        <f>IFERROR(Data!G524/Data!F524,0)</f>
        <v/>
      </c>
      <c r="H524" s="22">
        <f>IF(ABS(G524-Data!I524)&lt;Summary!$B$4,"OK","CHECK")</f>
        <v/>
      </c>
      <c r="I524" s="1" t="n"/>
      <c r="J524" s="1" t="n"/>
    </row>
    <row r="525">
      <c r="A525" s="17">
        <f>Data!A525</f>
        <v/>
      </c>
      <c r="B525" s="63">
        <f>Data!B525</f>
        <v/>
      </c>
      <c r="C525" s="17">
        <f>Data!D525</f>
        <v/>
      </c>
      <c r="D525" s="64">
        <f>IFERROR(Data!G525/Data!H525,0)</f>
        <v/>
      </c>
      <c r="E525" s="64">
        <f>IFERROR(Data!L525/Data!K525,0)</f>
        <v/>
      </c>
      <c r="F525" s="65">
        <f>Data!F525-Data!E525</f>
        <v/>
      </c>
      <c r="G525" s="21">
        <f>IFERROR(Data!G525/Data!F525,0)</f>
        <v/>
      </c>
      <c r="H525" s="22">
        <f>IF(ABS(G525-Data!I525)&lt;Summary!$B$4,"OK","CHECK")</f>
        <v/>
      </c>
      <c r="I525" s="1" t="n"/>
      <c r="J525" s="1" t="n"/>
    </row>
    <row r="526">
      <c r="A526" s="17">
        <f>Data!A526</f>
        <v/>
      </c>
      <c r="B526" s="63">
        <f>Data!B526</f>
        <v/>
      </c>
      <c r="C526" s="17">
        <f>Data!D526</f>
        <v/>
      </c>
      <c r="D526" s="64">
        <f>IFERROR(Data!G526/Data!H526,0)</f>
        <v/>
      </c>
      <c r="E526" s="64">
        <f>IFERROR(Data!L526/Data!K526,0)</f>
        <v/>
      </c>
      <c r="F526" s="65">
        <f>Data!F526-Data!E526</f>
        <v/>
      </c>
      <c r="G526" s="21">
        <f>IFERROR(Data!G526/Data!F526,0)</f>
        <v/>
      </c>
      <c r="H526" s="22">
        <f>IF(ABS(G526-Data!I526)&lt;Summary!$B$4,"OK","CHECK")</f>
        <v/>
      </c>
      <c r="I526" s="1" t="n"/>
      <c r="J526" s="1" t="n"/>
    </row>
    <row r="527">
      <c r="A527" s="17">
        <f>Data!A527</f>
        <v/>
      </c>
      <c r="B527" s="63">
        <f>Data!B527</f>
        <v/>
      </c>
      <c r="C527" s="17">
        <f>Data!D527</f>
        <v/>
      </c>
      <c r="D527" s="64">
        <f>IFERROR(Data!G527/Data!H527,0)</f>
        <v/>
      </c>
      <c r="E527" s="64">
        <f>IFERROR(Data!L527/Data!K527,0)</f>
        <v/>
      </c>
      <c r="F527" s="65">
        <f>Data!F527-Data!E527</f>
        <v/>
      </c>
      <c r="G527" s="21">
        <f>IFERROR(Data!G527/Data!F527,0)</f>
        <v/>
      </c>
      <c r="H527" s="22">
        <f>IF(ABS(G527-Data!I527)&lt;Summary!$B$4,"OK","CHECK")</f>
        <v/>
      </c>
      <c r="I527" s="1" t="n"/>
      <c r="J527" s="1" t="n"/>
    </row>
    <row r="528">
      <c r="A528" s="17">
        <f>Data!A528</f>
        <v/>
      </c>
      <c r="B528" s="63">
        <f>Data!B528</f>
        <v/>
      </c>
      <c r="C528" s="17">
        <f>Data!D528</f>
        <v/>
      </c>
      <c r="D528" s="64">
        <f>IFERROR(Data!G528/Data!H528,0)</f>
        <v/>
      </c>
      <c r="E528" s="64">
        <f>IFERROR(Data!L528/Data!K528,0)</f>
        <v/>
      </c>
      <c r="F528" s="65">
        <f>Data!F528-Data!E528</f>
        <v/>
      </c>
      <c r="G528" s="21">
        <f>IFERROR(Data!G528/Data!F528,0)</f>
        <v/>
      </c>
      <c r="H528" s="22">
        <f>IF(ABS(G528-Data!I528)&lt;Summary!$B$4,"OK","CHECK")</f>
        <v/>
      </c>
      <c r="I528" s="1" t="n"/>
      <c r="J528" s="1" t="n"/>
    </row>
    <row r="529">
      <c r="A529" s="17">
        <f>Data!A529</f>
        <v/>
      </c>
      <c r="B529" s="63">
        <f>Data!B529</f>
        <v/>
      </c>
      <c r="C529" s="17">
        <f>Data!D529</f>
        <v/>
      </c>
      <c r="D529" s="64">
        <f>IFERROR(Data!G529/Data!H529,0)</f>
        <v/>
      </c>
      <c r="E529" s="64">
        <f>IFERROR(Data!L529/Data!K529,0)</f>
        <v/>
      </c>
      <c r="F529" s="65">
        <f>Data!F529-Data!E529</f>
        <v/>
      </c>
      <c r="G529" s="21">
        <f>IFERROR(Data!G529/Data!F529,0)</f>
        <v/>
      </c>
      <c r="H529" s="22">
        <f>IF(ABS(G529-Data!I529)&lt;Summary!$B$4,"OK","CHECK")</f>
        <v/>
      </c>
      <c r="I529" s="1" t="n"/>
      <c r="J529" s="1" t="n"/>
    </row>
    <row r="530">
      <c r="A530" s="17">
        <f>Data!A530</f>
        <v/>
      </c>
      <c r="B530" s="63">
        <f>Data!B530</f>
        <v/>
      </c>
      <c r="C530" s="17">
        <f>Data!D530</f>
        <v/>
      </c>
      <c r="D530" s="64">
        <f>IFERROR(Data!G530/Data!H530,0)</f>
        <v/>
      </c>
      <c r="E530" s="64">
        <f>IFERROR(Data!L530/Data!K530,0)</f>
        <v/>
      </c>
      <c r="F530" s="65">
        <f>Data!F530-Data!E530</f>
        <v/>
      </c>
      <c r="G530" s="21">
        <f>IFERROR(Data!G530/Data!F530,0)</f>
        <v/>
      </c>
      <c r="H530" s="22">
        <f>IF(ABS(G530-Data!I530)&lt;Summary!$B$4,"OK","CHECK")</f>
        <v/>
      </c>
      <c r="I530" s="1" t="n"/>
      <c r="J530" s="1" t="n"/>
    </row>
    <row r="531">
      <c r="A531" s="17">
        <f>Data!A531</f>
        <v/>
      </c>
      <c r="B531" s="63">
        <f>Data!B531</f>
        <v/>
      </c>
      <c r="C531" s="17">
        <f>Data!D531</f>
        <v/>
      </c>
      <c r="D531" s="64">
        <f>IFERROR(Data!G531/Data!H531,0)</f>
        <v/>
      </c>
      <c r="E531" s="64">
        <f>IFERROR(Data!L531/Data!K531,0)</f>
        <v/>
      </c>
      <c r="F531" s="65">
        <f>Data!F531-Data!E531</f>
        <v/>
      </c>
      <c r="G531" s="21">
        <f>IFERROR(Data!G531/Data!F531,0)</f>
        <v/>
      </c>
      <c r="H531" s="22">
        <f>IF(ABS(G531-Data!I531)&lt;Summary!$B$4,"OK","CHECK")</f>
        <v/>
      </c>
      <c r="I531" s="1" t="n"/>
      <c r="J531" s="1" t="n"/>
    </row>
    <row r="532">
      <c r="A532" s="17">
        <f>Data!A532</f>
        <v/>
      </c>
      <c r="B532" s="63">
        <f>Data!B532</f>
        <v/>
      </c>
      <c r="C532" s="17">
        <f>Data!D532</f>
        <v/>
      </c>
      <c r="D532" s="64">
        <f>IFERROR(Data!G532/Data!H532,0)</f>
        <v/>
      </c>
      <c r="E532" s="64">
        <f>IFERROR(Data!L532/Data!K532,0)</f>
        <v/>
      </c>
      <c r="F532" s="65">
        <f>Data!F532-Data!E532</f>
        <v/>
      </c>
      <c r="G532" s="21">
        <f>IFERROR(Data!G532/Data!F532,0)</f>
        <v/>
      </c>
      <c r="H532" s="22">
        <f>IF(ABS(G532-Data!I532)&lt;Summary!$B$4,"OK","CHECK")</f>
        <v/>
      </c>
      <c r="I532" s="1" t="n"/>
      <c r="J532" s="1" t="n"/>
    </row>
    <row r="533">
      <c r="A533" s="17">
        <f>Data!A533</f>
        <v/>
      </c>
      <c r="B533" s="63">
        <f>Data!B533</f>
        <v/>
      </c>
      <c r="C533" s="17">
        <f>Data!D533</f>
        <v/>
      </c>
      <c r="D533" s="64">
        <f>IFERROR(Data!G533/Data!H533,0)</f>
        <v/>
      </c>
      <c r="E533" s="64">
        <f>IFERROR(Data!L533/Data!K533,0)</f>
        <v/>
      </c>
      <c r="F533" s="65">
        <f>Data!F533-Data!E533</f>
        <v/>
      </c>
      <c r="G533" s="21">
        <f>IFERROR(Data!G533/Data!F533,0)</f>
        <v/>
      </c>
      <c r="H533" s="22">
        <f>IF(ABS(G533-Data!I533)&lt;Summary!$B$4,"OK","CHECK")</f>
        <v/>
      </c>
      <c r="I533" s="1" t="n"/>
      <c r="J533" s="1" t="n"/>
    </row>
    <row r="534">
      <c r="A534" s="17">
        <f>Data!A534</f>
        <v/>
      </c>
      <c r="B534" s="63">
        <f>Data!B534</f>
        <v/>
      </c>
      <c r="C534" s="17">
        <f>Data!D534</f>
        <v/>
      </c>
      <c r="D534" s="64">
        <f>IFERROR(Data!G534/Data!H534,0)</f>
        <v/>
      </c>
      <c r="E534" s="64">
        <f>IFERROR(Data!L534/Data!K534,0)</f>
        <v/>
      </c>
      <c r="F534" s="65">
        <f>Data!F534-Data!E534</f>
        <v/>
      </c>
      <c r="G534" s="21">
        <f>IFERROR(Data!G534/Data!F534,0)</f>
        <v/>
      </c>
      <c r="H534" s="22">
        <f>IF(ABS(G534-Data!I534)&lt;Summary!$B$4,"OK","CHECK")</f>
        <v/>
      </c>
      <c r="I534" s="1" t="n"/>
      <c r="J534" s="1" t="n"/>
    </row>
    <row r="535">
      <c r="A535" s="17">
        <f>Data!A535</f>
        <v/>
      </c>
      <c r="B535" s="63">
        <f>Data!B535</f>
        <v/>
      </c>
      <c r="C535" s="17">
        <f>Data!D535</f>
        <v/>
      </c>
      <c r="D535" s="64">
        <f>IFERROR(Data!G535/Data!H535,0)</f>
        <v/>
      </c>
      <c r="E535" s="64">
        <f>IFERROR(Data!L535/Data!K535,0)</f>
        <v/>
      </c>
      <c r="F535" s="65">
        <f>Data!F535-Data!E535</f>
        <v/>
      </c>
      <c r="G535" s="21">
        <f>IFERROR(Data!G535/Data!F535,0)</f>
        <v/>
      </c>
      <c r="H535" s="22">
        <f>IF(ABS(G535-Data!I535)&lt;Summary!$B$4,"OK","CHECK")</f>
        <v/>
      </c>
      <c r="I535" s="1" t="n"/>
      <c r="J535" s="1" t="n"/>
    </row>
    <row r="536">
      <c r="A536" s="17">
        <f>Data!A536</f>
        <v/>
      </c>
      <c r="B536" s="63">
        <f>Data!B536</f>
        <v/>
      </c>
      <c r="C536" s="17">
        <f>Data!D536</f>
        <v/>
      </c>
      <c r="D536" s="64">
        <f>IFERROR(Data!G536/Data!H536,0)</f>
        <v/>
      </c>
      <c r="E536" s="64">
        <f>IFERROR(Data!L536/Data!K536,0)</f>
        <v/>
      </c>
      <c r="F536" s="65">
        <f>Data!F536-Data!E536</f>
        <v/>
      </c>
      <c r="G536" s="21">
        <f>IFERROR(Data!G536/Data!F536,0)</f>
        <v/>
      </c>
      <c r="H536" s="22">
        <f>IF(ABS(G536-Data!I536)&lt;Summary!$B$4,"OK","CHECK")</f>
        <v/>
      </c>
      <c r="I536" s="1" t="n"/>
      <c r="J536" s="1" t="n"/>
    </row>
    <row r="537">
      <c r="A537" s="17">
        <f>Data!A537</f>
        <v/>
      </c>
      <c r="B537" s="63">
        <f>Data!B537</f>
        <v/>
      </c>
      <c r="C537" s="17">
        <f>Data!D537</f>
        <v/>
      </c>
      <c r="D537" s="64">
        <f>IFERROR(Data!G537/Data!H537,0)</f>
        <v/>
      </c>
      <c r="E537" s="64">
        <f>IFERROR(Data!L537/Data!K537,0)</f>
        <v/>
      </c>
      <c r="F537" s="65">
        <f>Data!F537-Data!E537</f>
        <v/>
      </c>
      <c r="G537" s="21">
        <f>IFERROR(Data!G537/Data!F537,0)</f>
        <v/>
      </c>
      <c r="H537" s="22">
        <f>IF(ABS(G537-Data!I537)&lt;Summary!$B$4,"OK","CHECK")</f>
        <v/>
      </c>
      <c r="I537" s="1" t="n"/>
      <c r="J537" s="1" t="n"/>
    </row>
    <row r="538">
      <c r="A538" s="17">
        <f>Data!A538</f>
        <v/>
      </c>
      <c r="B538" s="63">
        <f>Data!B538</f>
        <v/>
      </c>
      <c r="C538" s="17">
        <f>Data!D538</f>
        <v/>
      </c>
      <c r="D538" s="64">
        <f>IFERROR(Data!G538/Data!H538,0)</f>
        <v/>
      </c>
      <c r="E538" s="64">
        <f>IFERROR(Data!L538/Data!K538,0)</f>
        <v/>
      </c>
      <c r="F538" s="65">
        <f>Data!F538-Data!E538</f>
        <v/>
      </c>
      <c r="G538" s="21">
        <f>IFERROR(Data!G538/Data!F538,0)</f>
        <v/>
      </c>
      <c r="H538" s="22">
        <f>IF(ABS(G538-Data!I538)&lt;Summary!$B$4,"OK","CHECK")</f>
        <v/>
      </c>
      <c r="I538" s="1" t="n"/>
      <c r="J538" s="1" t="n"/>
    </row>
    <row r="539">
      <c r="A539" s="17">
        <f>Data!A539</f>
        <v/>
      </c>
      <c r="B539" s="63">
        <f>Data!B539</f>
        <v/>
      </c>
      <c r="C539" s="17">
        <f>Data!D539</f>
        <v/>
      </c>
      <c r="D539" s="64">
        <f>IFERROR(Data!G539/Data!H539,0)</f>
        <v/>
      </c>
      <c r="E539" s="64">
        <f>IFERROR(Data!L539/Data!K539,0)</f>
        <v/>
      </c>
      <c r="F539" s="65">
        <f>Data!F539-Data!E539</f>
        <v/>
      </c>
      <c r="G539" s="21">
        <f>IFERROR(Data!G539/Data!F539,0)</f>
        <v/>
      </c>
      <c r="H539" s="22">
        <f>IF(ABS(G539-Data!I539)&lt;Summary!$B$4,"OK","CHECK")</f>
        <v/>
      </c>
      <c r="I539" s="1" t="n"/>
      <c r="J539" s="1" t="n"/>
    </row>
    <row r="540">
      <c r="A540" s="17">
        <f>Data!A540</f>
        <v/>
      </c>
      <c r="B540" s="63">
        <f>Data!B540</f>
        <v/>
      </c>
      <c r="C540" s="17">
        <f>Data!D540</f>
        <v/>
      </c>
      <c r="D540" s="64">
        <f>IFERROR(Data!G540/Data!H540,0)</f>
        <v/>
      </c>
      <c r="E540" s="64">
        <f>IFERROR(Data!L540/Data!K540,0)</f>
        <v/>
      </c>
      <c r="F540" s="65">
        <f>Data!F540-Data!E540</f>
        <v/>
      </c>
      <c r="G540" s="21">
        <f>IFERROR(Data!G540/Data!F540,0)</f>
        <v/>
      </c>
      <c r="H540" s="22">
        <f>IF(ABS(G540-Data!I540)&lt;Summary!$B$4,"OK","CHECK")</f>
        <v/>
      </c>
      <c r="I540" s="1" t="n"/>
      <c r="J540" s="1" t="n"/>
    </row>
    <row r="541">
      <c r="A541" s="17">
        <f>Data!A541</f>
        <v/>
      </c>
      <c r="B541" s="63">
        <f>Data!B541</f>
        <v/>
      </c>
      <c r="C541" s="17">
        <f>Data!D541</f>
        <v/>
      </c>
      <c r="D541" s="64">
        <f>IFERROR(Data!G541/Data!H541,0)</f>
        <v/>
      </c>
      <c r="E541" s="64">
        <f>IFERROR(Data!L541/Data!K541,0)</f>
        <v/>
      </c>
      <c r="F541" s="65">
        <f>Data!F541-Data!E541</f>
        <v/>
      </c>
      <c r="G541" s="21">
        <f>IFERROR(Data!G541/Data!F541,0)</f>
        <v/>
      </c>
      <c r="H541" s="22">
        <f>IF(ABS(G541-Data!I541)&lt;Summary!$B$4,"OK","CHECK")</f>
        <v/>
      </c>
      <c r="I541" s="1" t="n"/>
      <c r="J541" s="1" t="n"/>
    </row>
    <row r="542">
      <c r="A542" s="17">
        <f>Data!A542</f>
        <v/>
      </c>
      <c r="B542" s="63">
        <f>Data!B542</f>
        <v/>
      </c>
      <c r="C542" s="17">
        <f>Data!D542</f>
        <v/>
      </c>
      <c r="D542" s="64">
        <f>IFERROR(Data!G542/Data!H542,0)</f>
        <v/>
      </c>
      <c r="E542" s="64">
        <f>IFERROR(Data!L542/Data!K542,0)</f>
        <v/>
      </c>
      <c r="F542" s="65">
        <f>Data!F542-Data!E542</f>
        <v/>
      </c>
      <c r="G542" s="21">
        <f>IFERROR(Data!G542/Data!F542,0)</f>
        <v/>
      </c>
      <c r="H542" s="22">
        <f>IF(ABS(G542-Data!I542)&lt;Summary!$B$4,"OK","CHECK")</f>
        <v/>
      </c>
      <c r="I542" s="1" t="n"/>
      <c r="J542" s="1" t="n"/>
    </row>
    <row r="543">
      <c r="A543" s="17">
        <f>Data!A543</f>
        <v/>
      </c>
      <c r="B543" s="63">
        <f>Data!B543</f>
        <v/>
      </c>
      <c r="C543" s="17">
        <f>Data!D543</f>
        <v/>
      </c>
      <c r="D543" s="64">
        <f>IFERROR(Data!G543/Data!H543,0)</f>
        <v/>
      </c>
      <c r="E543" s="64">
        <f>IFERROR(Data!L543/Data!K543,0)</f>
        <v/>
      </c>
      <c r="F543" s="65">
        <f>Data!F543-Data!E543</f>
        <v/>
      </c>
      <c r="G543" s="21">
        <f>IFERROR(Data!G543/Data!F543,0)</f>
        <v/>
      </c>
      <c r="H543" s="22">
        <f>IF(ABS(G543-Data!I543)&lt;Summary!$B$4,"OK","CHECK")</f>
        <v/>
      </c>
      <c r="I543" s="1" t="n"/>
      <c r="J543" s="1" t="n"/>
    </row>
    <row r="544">
      <c r="A544" s="17">
        <f>Data!A544</f>
        <v/>
      </c>
      <c r="B544" s="63">
        <f>Data!B544</f>
        <v/>
      </c>
      <c r="C544" s="17">
        <f>Data!D544</f>
        <v/>
      </c>
      <c r="D544" s="64">
        <f>IFERROR(Data!G544/Data!H544,0)</f>
        <v/>
      </c>
      <c r="E544" s="64">
        <f>IFERROR(Data!L544/Data!K544,0)</f>
        <v/>
      </c>
      <c r="F544" s="65">
        <f>Data!F544-Data!E544</f>
        <v/>
      </c>
      <c r="G544" s="21">
        <f>IFERROR(Data!G544/Data!F544,0)</f>
        <v/>
      </c>
      <c r="H544" s="22">
        <f>IF(ABS(G544-Data!I544)&lt;Summary!$B$4,"OK","CHECK")</f>
        <v/>
      </c>
      <c r="I544" s="1" t="n"/>
      <c r="J544" s="1" t="n"/>
    </row>
    <row r="545">
      <c r="A545" s="17">
        <f>Data!A545</f>
        <v/>
      </c>
      <c r="B545" s="63">
        <f>Data!B545</f>
        <v/>
      </c>
      <c r="C545" s="17">
        <f>Data!D545</f>
        <v/>
      </c>
      <c r="D545" s="64">
        <f>IFERROR(Data!G545/Data!H545,0)</f>
        <v/>
      </c>
      <c r="E545" s="64">
        <f>IFERROR(Data!L545/Data!K545,0)</f>
        <v/>
      </c>
      <c r="F545" s="65">
        <f>Data!F545-Data!E545</f>
        <v/>
      </c>
      <c r="G545" s="21">
        <f>IFERROR(Data!G545/Data!F545,0)</f>
        <v/>
      </c>
      <c r="H545" s="22">
        <f>IF(ABS(G545-Data!I545)&lt;Summary!$B$4,"OK","CHECK")</f>
        <v/>
      </c>
      <c r="I545" s="1" t="n"/>
      <c r="J545" s="1" t="n"/>
    </row>
    <row r="546">
      <c r="A546" s="17">
        <f>Data!A546</f>
        <v/>
      </c>
      <c r="B546" s="63">
        <f>Data!B546</f>
        <v/>
      </c>
      <c r="C546" s="17">
        <f>Data!D546</f>
        <v/>
      </c>
      <c r="D546" s="64">
        <f>IFERROR(Data!G546/Data!H546,0)</f>
        <v/>
      </c>
      <c r="E546" s="64">
        <f>IFERROR(Data!L546/Data!K546,0)</f>
        <v/>
      </c>
      <c r="F546" s="65">
        <f>Data!F546-Data!E546</f>
        <v/>
      </c>
      <c r="G546" s="21">
        <f>IFERROR(Data!G546/Data!F546,0)</f>
        <v/>
      </c>
      <c r="H546" s="22">
        <f>IF(ABS(G546-Data!I546)&lt;Summary!$B$4,"OK","CHECK")</f>
        <v/>
      </c>
      <c r="I546" s="1" t="n"/>
      <c r="J546" s="1" t="n"/>
    </row>
    <row r="547">
      <c r="A547" s="17">
        <f>Data!A547</f>
        <v/>
      </c>
      <c r="B547" s="63">
        <f>Data!B547</f>
        <v/>
      </c>
      <c r="C547" s="17">
        <f>Data!D547</f>
        <v/>
      </c>
      <c r="D547" s="64">
        <f>IFERROR(Data!G547/Data!H547,0)</f>
        <v/>
      </c>
      <c r="E547" s="64">
        <f>IFERROR(Data!L547/Data!K547,0)</f>
        <v/>
      </c>
      <c r="F547" s="65">
        <f>Data!F547-Data!E547</f>
        <v/>
      </c>
      <c r="G547" s="21">
        <f>IFERROR(Data!G547/Data!F547,0)</f>
        <v/>
      </c>
      <c r="H547" s="22">
        <f>IF(ABS(G547-Data!I547)&lt;Summary!$B$4,"OK","CHECK")</f>
        <v/>
      </c>
      <c r="I547" s="1" t="n"/>
      <c r="J547" s="1" t="n"/>
    </row>
    <row r="548">
      <c r="A548" s="17">
        <f>Data!A548</f>
        <v/>
      </c>
      <c r="B548" s="63">
        <f>Data!B548</f>
        <v/>
      </c>
      <c r="C548" s="17">
        <f>Data!D548</f>
        <v/>
      </c>
      <c r="D548" s="64">
        <f>IFERROR(Data!G548/Data!H548,0)</f>
        <v/>
      </c>
      <c r="E548" s="64">
        <f>IFERROR(Data!L548/Data!K548,0)</f>
        <v/>
      </c>
      <c r="F548" s="65">
        <f>Data!F548-Data!E548</f>
        <v/>
      </c>
      <c r="G548" s="21">
        <f>IFERROR(Data!G548/Data!F548,0)</f>
        <v/>
      </c>
      <c r="H548" s="22">
        <f>IF(ABS(G548-Data!I548)&lt;Summary!$B$4,"OK","CHECK")</f>
        <v/>
      </c>
      <c r="I548" s="1" t="n"/>
      <c r="J548" s="1" t="n"/>
    </row>
    <row r="549">
      <c r="A549" s="17">
        <f>Data!A549</f>
        <v/>
      </c>
      <c r="B549" s="63">
        <f>Data!B549</f>
        <v/>
      </c>
      <c r="C549" s="17">
        <f>Data!D549</f>
        <v/>
      </c>
      <c r="D549" s="64">
        <f>IFERROR(Data!G549/Data!H549,0)</f>
        <v/>
      </c>
      <c r="E549" s="64">
        <f>IFERROR(Data!L549/Data!K549,0)</f>
        <v/>
      </c>
      <c r="F549" s="65">
        <f>Data!F549-Data!E549</f>
        <v/>
      </c>
      <c r="G549" s="21">
        <f>IFERROR(Data!G549/Data!F549,0)</f>
        <v/>
      </c>
      <c r="H549" s="22">
        <f>IF(ABS(G549-Data!I549)&lt;Summary!$B$4,"OK","CHECK")</f>
        <v/>
      </c>
      <c r="I549" s="1" t="n"/>
      <c r="J549" s="1" t="n"/>
    </row>
    <row r="550">
      <c r="A550" s="17">
        <f>Data!A550</f>
        <v/>
      </c>
      <c r="B550" s="63">
        <f>Data!B550</f>
        <v/>
      </c>
      <c r="C550" s="17">
        <f>Data!D550</f>
        <v/>
      </c>
      <c r="D550" s="64">
        <f>IFERROR(Data!G550/Data!H550,0)</f>
        <v/>
      </c>
      <c r="E550" s="64">
        <f>IFERROR(Data!L550/Data!K550,0)</f>
        <v/>
      </c>
      <c r="F550" s="65">
        <f>Data!F550-Data!E550</f>
        <v/>
      </c>
      <c r="G550" s="21">
        <f>IFERROR(Data!G550/Data!F550,0)</f>
        <v/>
      </c>
      <c r="H550" s="22">
        <f>IF(ABS(G550-Data!I550)&lt;Summary!$B$4,"OK","CHECK")</f>
        <v/>
      </c>
      <c r="I550" s="1" t="n"/>
      <c r="J550" s="1" t="n"/>
    </row>
    <row r="551">
      <c r="A551" s="17">
        <f>Data!A551</f>
        <v/>
      </c>
      <c r="B551" s="63">
        <f>Data!B551</f>
        <v/>
      </c>
      <c r="C551" s="17">
        <f>Data!D551</f>
        <v/>
      </c>
      <c r="D551" s="64">
        <f>IFERROR(Data!G551/Data!H551,0)</f>
        <v/>
      </c>
      <c r="E551" s="64">
        <f>IFERROR(Data!L551/Data!K551,0)</f>
        <v/>
      </c>
      <c r="F551" s="65">
        <f>Data!F551-Data!E551</f>
        <v/>
      </c>
      <c r="G551" s="21">
        <f>IFERROR(Data!G551/Data!F551,0)</f>
        <v/>
      </c>
      <c r="H551" s="22">
        <f>IF(ABS(G551-Data!I551)&lt;Summary!$B$4,"OK","CHECK")</f>
        <v/>
      </c>
      <c r="I551" s="1" t="n"/>
      <c r="J551" s="1" t="n"/>
    </row>
    <row r="552">
      <c r="A552" s="17">
        <f>Data!A552</f>
        <v/>
      </c>
      <c r="B552" s="63">
        <f>Data!B552</f>
        <v/>
      </c>
      <c r="C552" s="17">
        <f>Data!D552</f>
        <v/>
      </c>
      <c r="D552" s="64">
        <f>IFERROR(Data!G552/Data!H552,0)</f>
        <v/>
      </c>
      <c r="E552" s="64">
        <f>IFERROR(Data!L552/Data!K552,0)</f>
        <v/>
      </c>
      <c r="F552" s="65">
        <f>Data!F552-Data!E552</f>
        <v/>
      </c>
      <c r="G552" s="21">
        <f>IFERROR(Data!G552/Data!F552,0)</f>
        <v/>
      </c>
      <c r="H552" s="22">
        <f>IF(ABS(G552-Data!I552)&lt;Summary!$B$4,"OK","CHECK")</f>
        <v/>
      </c>
      <c r="I552" s="1" t="n"/>
      <c r="J552" s="1" t="n"/>
    </row>
    <row r="553">
      <c r="A553" s="17">
        <f>Data!A553</f>
        <v/>
      </c>
      <c r="B553" s="63">
        <f>Data!B553</f>
        <v/>
      </c>
      <c r="C553" s="17">
        <f>Data!D553</f>
        <v/>
      </c>
      <c r="D553" s="64">
        <f>IFERROR(Data!G553/Data!H553,0)</f>
        <v/>
      </c>
      <c r="E553" s="64">
        <f>IFERROR(Data!L553/Data!K553,0)</f>
        <v/>
      </c>
      <c r="F553" s="65">
        <f>Data!F553-Data!E553</f>
        <v/>
      </c>
      <c r="G553" s="21">
        <f>IFERROR(Data!G553/Data!F553,0)</f>
        <v/>
      </c>
      <c r="H553" s="22">
        <f>IF(ABS(G553-Data!I553)&lt;Summary!$B$4,"OK","CHECK")</f>
        <v/>
      </c>
      <c r="I553" s="1" t="n"/>
      <c r="J553" s="1" t="n"/>
    </row>
    <row r="554">
      <c r="A554" s="17">
        <f>Data!A554</f>
        <v/>
      </c>
      <c r="B554" s="63">
        <f>Data!B554</f>
        <v/>
      </c>
      <c r="C554" s="17">
        <f>Data!D554</f>
        <v/>
      </c>
      <c r="D554" s="64">
        <f>IFERROR(Data!G554/Data!H554,0)</f>
        <v/>
      </c>
      <c r="E554" s="64">
        <f>IFERROR(Data!L554/Data!K554,0)</f>
        <v/>
      </c>
      <c r="F554" s="65">
        <f>Data!F554-Data!E554</f>
        <v/>
      </c>
      <c r="G554" s="21">
        <f>IFERROR(Data!G554/Data!F554,0)</f>
        <v/>
      </c>
      <c r="H554" s="22">
        <f>IF(ABS(G554-Data!I554)&lt;Summary!$B$4,"OK","CHECK")</f>
        <v/>
      </c>
      <c r="I554" s="1" t="n"/>
      <c r="J554" s="1" t="n"/>
    </row>
    <row r="555">
      <c r="A555" s="17">
        <f>Data!A555</f>
        <v/>
      </c>
      <c r="B555" s="63">
        <f>Data!B555</f>
        <v/>
      </c>
      <c r="C555" s="17">
        <f>Data!D555</f>
        <v/>
      </c>
      <c r="D555" s="64">
        <f>IFERROR(Data!G555/Data!H555,0)</f>
        <v/>
      </c>
      <c r="E555" s="64">
        <f>IFERROR(Data!L555/Data!K555,0)</f>
        <v/>
      </c>
      <c r="F555" s="65">
        <f>Data!F555-Data!E555</f>
        <v/>
      </c>
      <c r="G555" s="21">
        <f>IFERROR(Data!G555/Data!F555,0)</f>
        <v/>
      </c>
      <c r="H555" s="22">
        <f>IF(ABS(G555-Data!I555)&lt;Summary!$B$4,"OK","CHECK")</f>
        <v/>
      </c>
      <c r="I555" s="1" t="n"/>
      <c r="J555" s="1" t="n"/>
    </row>
    <row r="556">
      <c r="A556" s="17">
        <f>Data!A556</f>
        <v/>
      </c>
      <c r="B556" s="63">
        <f>Data!B556</f>
        <v/>
      </c>
      <c r="C556" s="17">
        <f>Data!D556</f>
        <v/>
      </c>
      <c r="D556" s="64">
        <f>IFERROR(Data!G556/Data!H556,0)</f>
        <v/>
      </c>
      <c r="E556" s="64">
        <f>IFERROR(Data!L556/Data!K556,0)</f>
        <v/>
      </c>
      <c r="F556" s="65">
        <f>Data!F556-Data!E556</f>
        <v/>
      </c>
      <c r="G556" s="21">
        <f>IFERROR(Data!G556/Data!F556,0)</f>
        <v/>
      </c>
      <c r="H556" s="22">
        <f>IF(ABS(G556-Data!I556)&lt;Summary!$B$4,"OK","CHECK")</f>
        <v/>
      </c>
      <c r="I556" s="1" t="n"/>
      <c r="J556" s="1" t="n"/>
    </row>
    <row r="557">
      <c r="A557" s="17">
        <f>Data!A557</f>
        <v/>
      </c>
      <c r="B557" s="63">
        <f>Data!B557</f>
        <v/>
      </c>
      <c r="C557" s="17">
        <f>Data!D557</f>
        <v/>
      </c>
      <c r="D557" s="64">
        <f>IFERROR(Data!G557/Data!H557,0)</f>
        <v/>
      </c>
      <c r="E557" s="64">
        <f>IFERROR(Data!L557/Data!K557,0)</f>
        <v/>
      </c>
      <c r="F557" s="65">
        <f>Data!F557-Data!E557</f>
        <v/>
      </c>
      <c r="G557" s="21">
        <f>IFERROR(Data!G557/Data!F557,0)</f>
        <v/>
      </c>
      <c r="H557" s="22">
        <f>IF(ABS(G557-Data!I557)&lt;Summary!$B$4,"OK","CHECK")</f>
        <v/>
      </c>
      <c r="I557" s="1" t="n"/>
      <c r="J557" s="1" t="n"/>
    </row>
    <row r="558">
      <c r="A558" s="17">
        <f>Data!A558</f>
        <v/>
      </c>
      <c r="B558" s="63">
        <f>Data!B558</f>
        <v/>
      </c>
      <c r="C558" s="17">
        <f>Data!D558</f>
        <v/>
      </c>
      <c r="D558" s="64">
        <f>IFERROR(Data!G558/Data!H558,0)</f>
        <v/>
      </c>
      <c r="E558" s="64">
        <f>IFERROR(Data!L558/Data!K558,0)</f>
        <v/>
      </c>
      <c r="F558" s="65">
        <f>Data!F558-Data!E558</f>
        <v/>
      </c>
      <c r="G558" s="21">
        <f>IFERROR(Data!G558/Data!F558,0)</f>
        <v/>
      </c>
      <c r="H558" s="22">
        <f>IF(ABS(G558-Data!I558)&lt;Summary!$B$4,"OK","CHECK")</f>
        <v/>
      </c>
      <c r="I558" s="1" t="n"/>
      <c r="J558" s="1" t="n"/>
    </row>
    <row r="559">
      <c r="A559" s="17">
        <f>Data!A559</f>
        <v/>
      </c>
      <c r="B559" s="63">
        <f>Data!B559</f>
        <v/>
      </c>
      <c r="C559" s="17">
        <f>Data!D559</f>
        <v/>
      </c>
      <c r="D559" s="64">
        <f>IFERROR(Data!G559/Data!H559,0)</f>
        <v/>
      </c>
      <c r="E559" s="64">
        <f>IFERROR(Data!L559/Data!K559,0)</f>
        <v/>
      </c>
      <c r="F559" s="65">
        <f>Data!F559-Data!E559</f>
        <v/>
      </c>
      <c r="G559" s="21">
        <f>IFERROR(Data!G559/Data!F559,0)</f>
        <v/>
      </c>
      <c r="H559" s="22">
        <f>IF(ABS(G559-Data!I559)&lt;Summary!$B$4,"OK","CHECK")</f>
        <v/>
      </c>
      <c r="I559" s="1" t="n"/>
      <c r="J559" s="1" t="n"/>
    </row>
    <row r="560">
      <c r="A560" s="17">
        <f>Data!A560</f>
        <v/>
      </c>
      <c r="B560" s="63">
        <f>Data!B560</f>
        <v/>
      </c>
      <c r="C560" s="17">
        <f>Data!D560</f>
        <v/>
      </c>
      <c r="D560" s="64">
        <f>IFERROR(Data!G560/Data!H560,0)</f>
        <v/>
      </c>
      <c r="E560" s="64">
        <f>IFERROR(Data!L560/Data!K560,0)</f>
        <v/>
      </c>
      <c r="F560" s="65">
        <f>Data!F560-Data!E560</f>
        <v/>
      </c>
      <c r="G560" s="21">
        <f>IFERROR(Data!G560/Data!F560,0)</f>
        <v/>
      </c>
      <c r="H560" s="22">
        <f>IF(ABS(G560-Data!I560)&lt;Summary!$B$4,"OK","CHECK")</f>
        <v/>
      </c>
      <c r="I560" s="1" t="n"/>
      <c r="J560" s="1" t="n"/>
    </row>
    <row r="561">
      <c r="A561" s="17">
        <f>Data!A561</f>
        <v/>
      </c>
      <c r="B561" s="63">
        <f>Data!B561</f>
        <v/>
      </c>
      <c r="C561" s="17">
        <f>Data!D561</f>
        <v/>
      </c>
      <c r="D561" s="64">
        <f>IFERROR(Data!G561/Data!H561,0)</f>
        <v/>
      </c>
      <c r="E561" s="64">
        <f>IFERROR(Data!L561/Data!K561,0)</f>
        <v/>
      </c>
      <c r="F561" s="65">
        <f>Data!F561-Data!E561</f>
        <v/>
      </c>
      <c r="G561" s="21">
        <f>IFERROR(Data!G561/Data!F561,0)</f>
        <v/>
      </c>
      <c r="H561" s="22">
        <f>IF(ABS(G561-Data!I561)&lt;Summary!$B$4,"OK","CHECK")</f>
        <v/>
      </c>
      <c r="I561" s="1" t="n"/>
      <c r="J561" s="1" t="n"/>
    </row>
    <row r="562">
      <c r="A562" s="17">
        <f>Data!A562</f>
        <v/>
      </c>
      <c r="B562" s="63">
        <f>Data!B562</f>
        <v/>
      </c>
      <c r="C562" s="17">
        <f>Data!D562</f>
        <v/>
      </c>
      <c r="D562" s="64">
        <f>IFERROR(Data!G562/Data!H562,0)</f>
        <v/>
      </c>
      <c r="E562" s="64">
        <f>IFERROR(Data!L562/Data!K562,0)</f>
        <v/>
      </c>
      <c r="F562" s="65">
        <f>Data!F562-Data!E562</f>
        <v/>
      </c>
      <c r="G562" s="21">
        <f>IFERROR(Data!G562/Data!F562,0)</f>
        <v/>
      </c>
      <c r="H562" s="22">
        <f>IF(ABS(G562-Data!I562)&lt;Summary!$B$4,"OK","CHECK")</f>
        <v/>
      </c>
      <c r="I562" s="1" t="n"/>
      <c r="J562" s="1" t="n"/>
    </row>
    <row r="563">
      <c r="A563" s="17">
        <f>Data!A563</f>
        <v/>
      </c>
      <c r="B563" s="63">
        <f>Data!B563</f>
        <v/>
      </c>
      <c r="C563" s="17">
        <f>Data!D563</f>
        <v/>
      </c>
      <c r="D563" s="64">
        <f>IFERROR(Data!G563/Data!H563,0)</f>
        <v/>
      </c>
      <c r="E563" s="64">
        <f>IFERROR(Data!L563/Data!K563,0)</f>
        <v/>
      </c>
      <c r="F563" s="65">
        <f>Data!F563-Data!E563</f>
        <v/>
      </c>
      <c r="G563" s="21">
        <f>IFERROR(Data!G563/Data!F563,0)</f>
        <v/>
      </c>
      <c r="H563" s="22">
        <f>IF(ABS(G563-Data!I563)&lt;Summary!$B$4,"OK","CHECK")</f>
        <v/>
      </c>
      <c r="I563" s="1" t="n"/>
      <c r="J563" s="1" t="n"/>
    </row>
    <row r="564">
      <c r="A564" s="17">
        <f>Data!A564</f>
        <v/>
      </c>
      <c r="B564" s="63">
        <f>Data!B564</f>
        <v/>
      </c>
      <c r="C564" s="17">
        <f>Data!D564</f>
        <v/>
      </c>
      <c r="D564" s="64">
        <f>IFERROR(Data!G564/Data!H564,0)</f>
        <v/>
      </c>
      <c r="E564" s="64">
        <f>IFERROR(Data!L564/Data!K564,0)</f>
        <v/>
      </c>
      <c r="F564" s="65">
        <f>Data!F564-Data!E564</f>
        <v/>
      </c>
      <c r="G564" s="21">
        <f>IFERROR(Data!G564/Data!F564,0)</f>
        <v/>
      </c>
      <c r="H564" s="22">
        <f>IF(ABS(G564-Data!I564)&lt;Summary!$B$4,"OK","CHECK")</f>
        <v/>
      </c>
      <c r="I564" s="1" t="n"/>
      <c r="J564" s="1" t="n"/>
    </row>
    <row r="565">
      <c r="A565" s="17">
        <f>Data!A565</f>
        <v/>
      </c>
      <c r="B565" s="63">
        <f>Data!B565</f>
        <v/>
      </c>
      <c r="C565" s="17">
        <f>Data!D565</f>
        <v/>
      </c>
      <c r="D565" s="64">
        <f>IFERROR(Data!G565/Data!H565,0)</f>
        <v/>
      </c>
      <c r="E565" s="64">
        <f>IFERROR(Data!L565/Data!K565,0)</f>
        <v/>
      </c>
      <c r="F565" s="65">
        <f>Data!F565-Data!E565</f>
        <v/>
      </c>
      <c r="G565" s="21">
        <f>IFERROR(Data!G565/Data!F565,0)</f>
        <v/>
      </c>
      <c r="H565" s="22">
        <f>IF(ABS(G565-Data!I565)&lt;Summary!$B$4,"OK","CHECK")</f>
        <v/>
      </c>
      <c r="I565" s="1" t="n"/>
      <c r="J565" s="1" t="n"/>
    </row>
    <row r="566">
      <c r="A566" s="17">
        <f>Data!A566</f>
        <v/>
      </c>
      <c r="B566" s="63">
        <f>Data!B566</f>
        <v/>
      </c>
      <c r="C566" s="17">
        <f>Data!D566</f>
        <v/>
      </c>
      <c r="D566" s="64">
        <f>IFERROR(Data!G566/Data!H566,0)</f>
        <v/>
      </c>
      <c r="E566" s="64">
        <f>IFERROR(Data!L566/Data!K566,0)</f>
        <v/>
      </c>
      <c r="F566" s="65">
        <f>Data!F566-Data!E566</f>
        <v/>
      </c>
      <c r="G566" s="21">
        <f>IFERROR(Data!G566/Data!F566,0)</f>
        <v/>
      </c>
      <c r="H566" s="22">
        <f>IF(ABS(G566-Data!I566)&lt;Summary!$B$4,"OK","CHECK")</f>
        <v/>
      </c>
      <c r="I566" s="1" t="n"/>
      <c r="J566" s="1" t="n"/>
    </row>
    <row r="567">
      <c r="A567" s="17">
        <f>Data!A567</f>
        <v/>
      </c>
      <c r="B567" s="63">
        <f>Data!B567</f>
        <v/>
      </c>
      <c r="C567" s="17">
        <f>Data!D567</f>
        <v/>
      </c>
      <c r="D567" s="64">
        <f>IFERROR(Data!G567/Data!H567,0)</f>
        <v/>
      </c>
      <c r="E567" s="64">
        <f>IFERROR(Data!L567/Data!K567,0)</f>
        <v/>
      </c>
      <c r="F567" s="65">
        <f>Data!F567-Data!E567</f>
        <v/>
      </c>
      <c r="G567" s="21">
        <f>IFERROR(Data!G567/Data!F567,0)</f>
        <v/>
      </c>
      <c r="H567" s="22">
        <f>IF(ABS(G567-Data!I567)&lt;Summary!$B$4,"OK","CHECK")</f>
        <v/>
      </c>
      <c r="I567" s="1" t="n"/>
      <c r="J567" s="1" t="n"/>
    </row>
    <row r="568">
      <c r="A568" s="17">
        <f>Data!A568</f>
        <v/>
      </c>
      <c r="B568" s="63">
        <f>Data!B568</f>
        <v/>
      </c>
      <c r="C568" s="17">
        <f>Data!D568</f>
        <v/>
      </c>
      <c r="D568" s="64">
        <f>IFERROR(Data!G568/Data!H568,0)</f>
        <v/>
      </c>
      <c r="E568" s="64">
        <f>IFERROR(Data!L568/Data!K568,0)</f>
        <v/>
      </c>
      <c r="F568" s="65">
        <f>Data!F568-Data!E568</f>
        <v/>
      </c>
      <c r="G568" s="21">
        <f>IFERROR(Data!G568/Data!F568,0)</f>
        <v/>
      </c>
      <c r="H568" s="22">
        <f>IF(ABS(G568-Data!I568)&lt;Summary!$B$4,"OK","CHECK")</f>
        <v/>
      </c>
      <c r="I568" s="1" t="n"/>
      <c r="J568" s="1" t="n"/>
    </row>
    <row r="569">
      <c r="A569" s="17">
        <f>Data!A569</f>
        <v/>
      </c>
      <c r="B569" s="63">
        <f>Data!B569</f>
        <v/>
      </c>
      <c r="C569" s="17">
        <f>Data!D569</f>
        <v/>
      </c>
      <c r="D569" s="64">
        <f>IFERROR(Data!G569/Data!H569,0)</f>
        <v/>
      </c>
      <c r="E569" s="64">
        <f>IFERROR(Data!L569/Data!K569,0)</f>
        <v/>
      </c>
      <c r="F569" s="65">
        <f>Data!F569-Data!E569</f>
        <v/>
      </c>
      <c r="G569" s="21">
        <f>IFERROR(Data!G569/Data!F569,0)</f>
        <v/>
      </c>
      <c r="H569" s="22">
        <f>IF(ABS(G569-Data!I569)&lt;Summary!$B$4,"OK","CHECK")</f>
        <v/>
      </c>
      <c r="I569" s="1" t="n"/>
      <c r="J569" s="1" t="n"/>
    </row>
    <row r="570">
      <c r="A570" s="17">
        <f>Data!A570</f>
        <v/>
      </c>
      <c r="B570" s="63">
        <f>Data!B570</f>
        <v/>
      </c>
      <c r="C570" s="17">
        <f>Data!D570</f>
        <v/>
      </c>
      <c r="D570" s="64">
        <f>IFERROR(Data!G570/Data!H570,0)</f>
        <v/>
      </c>
      <c r="E570" s="64">
        <f>IFERROR(Data!L570/Data!K570,0)</f>
        <v/>
      </c>
      <c r="F570" s="65">
        <f>Data!F570-Data!E570</f>
        <v/>
      </c>
      <c r="G570" s="21">
        <f>IFERROR(Data!G570/Data!F570,0)</f>
        <v/>
      </c>
      <c r="H570" s="22">
        <f>IF(ABS(G570-Data!I570)&lt;Summary!$B$4,"OK","CHECK")</f>
        <v/>
      </c>
      <c r="I570" s="1" t="n"/>
      <c r="J570" s="1" t="n"/>
    </row>
    <row r="571">
      <c r="A571" s="17">
        <f>Data!A571</f>
        <v/>
      </c>
      <c r="B571" s="63">
        <f>Data!B571</f>
        <v/>
      </c>
      <c r="C571" s="17">
        <f>Data!D571</f>
        <v/>
      </c>
      <c r="D571" s="64">
        <f>IFERROR(Data!G571/Data!H571,0)</f>
        <v/>
      </c>
      <c r="E571" s="64">
        <f>IFERROR(Data!L571/Data!K571,0)</f>
        <v/>
      </c>
      <c r="F571" s="65">
        <f>Data!F571-Data!E571</f>
        <v/>
      </c>
      <c r="G571" s="21">
        <f>IFERROR(Data!G571/Data!F571,0)</f>
        <v/>
      </c>
      <c r="H571" s="22">
        <f>IF(ABS(G571-Data!I571)&lt;Summary!$B$4,"OK","CHECK")</f>
        <v/>
      </c>
      <c r="I571" s="1" t="n"/>
      <c r="J571" s="1" t="n"/>
    </row>
    <row r="572">
      <c r="A572" s="17">
        <f>Data!A572</f>
        <v/>
      </c>
      <c r="B572" s="63">
        <f>Data!B572</f>
        <v/>
      </c>
      <c r="C572" s="17">
        <f>Data!D572</f>
        <v/>
      </c>
      <c r="D572" s="64">
        <f>IFERROR(Data!G572/Data!H572,0)</f>
        <v/>
      </c>
      <c r="E572" s="64">
        <f>IFERROR(Data!L572/Data!K572,0)</f>
        <v/>
      </c>
      <c r="F572" s="65">
        <f>Data!F572-Data!E572</f>
        <v/>
      </c>
      <c r="G572" s="21">
        <f>IFERROR(Data!G572/Data!F572,0)</f>
        <v/>
      </c>
      <c r="H572" s="22">
        <f>IF(ABS(G572-Data!I572)&lt;Summary!$B$4,"OK","CHECK")</f>
        <v/>
      </c>
      <c r="I572" s="1" t="n"/>
      <c r="J572" s="1" t="n"/>
    </row>
    <row r="573">
      <c r="A573" s="17">
        <f>Data!A573</f>
        <v/>
      </c>
      <c r="B573" s="63">
        <f>Data!B573</f>
        <v/>
      </c>
      <c r="C573" s="17">
        <f>Data!D573</f>
        <v/>
      </c>
      <c r="D573" s="64">
        <f>IFERROR(Data!G573/Data!H573,0)</f>
        <v/>
      </c>
      <c r="E573" s="64">
        <f>IFERROR(Data!L573/Data!K573,0)</f>
        <v/>
      </c>
      <c r="F573" s="65">
        <f>Data!F573-Data!E573</f>
        <v/>
      </c>
      <c r="G573" s="21">
        <f>IFERROR(Data!G573/Data!F573,0)</f>
        <v/>
      </c>
      <c r="H573" s="22">
        <f>IF(ABS(G573-Data!I573)&lt;Summary!$B$4,"OK","CHECK")</f>
        <v/>
      </c>
      <c r="I573" s="1" t="n"/>
      <c r="J573" s="1" t="n"/>
    </row>
    <row r="574">
      <c r="A574" s="17">
        <f>Data!A574</f>
        <v/>
      </c>
      <c r="B574" s="63">
        <f>Data!B574</f>
        <v/>
      </c>
      <c r="C574" s="17">
        <f>Data!D574</f>
        <v/>
      </c>
      <c r="D574" s="64">
        <f>IFERROR(Data!G574/Data!H574,0)</f>
        <v/>
      </c>
      <c r="E574" s="64">
        <f>IFERROR(Data!L574/Data!K574,0)</f>
        <v/>
      </c>
      <c r="F574" s="65">
        <f>Data!F574-Data!E574</f>
        <v/>
      </c>
      <c r="G574" s="21">
        <f>IFERROR(Data!G574/Data!F574,0)</f>
        <v/>
      </c>
      <c r="H574" s="22">
        <f>IF(ABS(G574-Data!I574)&lt;Summary!$B$4,"OK","CHECK")</f>
        <v/>
      </c>
      <c r="I574" s="1" t="n"/>
      <c r="J574" s="1" t="n"/>
    </row>
    <row r="575">
      <c r="A575" s="17">
        <f>Data!A575</f>
        <v/>
      </c>
      <c r="B575" s="63">
        <f>Data!B575</f>
        <v/>
      </c>
      <c r="C575" s="17">
        <f>Data!D575</f>
        <v/>
      </c>
      <c r="D575" s="64">
        <f>IFERROR(Data!G575/Data!H575,0)</f>
        <v/>
      </c>
      <c r="E575" s="64">
        <f>IFERROR(Data!L575/Data!K575,0)</f>
        <v/>
      </c>
      <c r="F575" s="65">
        <f>Data!F575-Data!E575</f>
        <v/>
      </c>
      <c r="G575" s="21">
        <f>IFERROR(Data!G575/Data!F575,0)</f>
        <v/>
      </c>
      <c r="H575" s="22">
        <f>IF(ABS(G575-Data!I575)&lt;Summary!$B$4,"OK","CHECK")</f>
        <v/>
      </c>
      <c r="I575" s="1" t="n"/>
      <c r="J575" s="1" t="n"/>
    </row>
    <row r="576">
      <c r="A576" s="17">
        <f>Data!A576</f>
        <v/>
      </c>
      <c r="B576" s="63">
        <f>Data!B576</f>
        <v/>
      </c>
      <c r="C576" s="17">
        <f>Data!D576</f>
        <v/>
      </c>
      <c r="D576" s="64">
        <f>IFERROR(Data!G576/Data!H576,0)</f>
        <v/>
      </c>
      <c r="E576" s="64">
        <f>IFERROR(Data!L576/Data!K576,0)</f>
        <v/>
      </c>
      <c r="F576" s="65">
        <f>Data!F576-Data!E576</f>
        <v/>
      </c>
      <c r="G576" s="21">
        <f>IFERROR(Data!G576/Data!F576,0)</f>
        <v/>
      </c>
      <c r="H576" s="22">
        <f>IF(ABS(G576-Data!I576)&lt;Summary!$B$4,"OK","CHECK")</f>
        <v/>
      </c>
      <c r="I576" s="1" t="n"/>
      <c r="J576" s="1" t="n"/>
    </row>
    <row r="577">
      <c r="A577" s="17">
        <f>Data!A577</f>
        <v/>
      </c>
      <c r="B577" s="63">
        <f>Data!B577</f>
        <v/>
      </c>
      <c r="C577" s="17">
        <f>Data!D577</f>
        <v/>
      </c>
      <c r="D577" s="64">
        <f>IFERROR(Data!G577/Data!H577,0)</f>
        <v/>
      </c>
      <c r="E577" s="64">
        <f>IFERROR(Data!L577/Data!K577,0)</f>
        <v/>
      </c>
      <c r="F577" s="65">
        <f>Data!F577-Data!E577</f>
        <v/>
      </c>
      <c r="G577" s="21">
        <f>IFERROR(Data!G577/Data!F577,0)</f>
        <v/>
      </c>
      <c r="H577" s="22">
        <f>IF(ABS(G577-Data!I577)&lt;Summary!$B$4,"OK","CHECK")</f>
        <v/>
      </c>
      <c r="I577" s="1" t="n"/>
      <c r="J577" s="1" t="n"/>
    </row>
    <row r="578">
      <c r="A578" s="17">
        <f>Data!A578</f>
        <v/>
      </c>
      <c r="B578" s="63">
        <f>Data!B578</f>
        <v/>
      </c>
      <c r="C578" s="17">
        <f>Data!D578</f>
        <v/>
      </c>
      <c r="D578" s="64">
        <f>IFERROR(Data!G578/Data!H578,0)</f>
        <v/>
      </c>
      <c r="E578" s="64">
        <f>IFERROR(Data!L578/Data!K578,0)</f>
        <v/>
      </c>
      <c r="F578" s="65">
        <f>Data!F578-Data!E578</f>
        <v/>
      </c>
      <c r="G578" s="21">
        <f>IFERROR(Data!G578/Data!F578,0)</f>
        <v/>
      </c>
      <c r="H578" s="22">
        <f>IF(ABS(G578-Data!I578)&lt;Summary!$B$4,"OK","CHECK")</f>
        <v/>
      </c>
      <c r="I578" s="1" t="n"/>
      <c r="J578" s="1" t="n"/>
    </row>
    <row r="579">
      <c r="A579" s="17">
        <f>Data!A579</f>
        <v/>
      </c>
      <c r="B579" s="63">
        <f>Data!B579</f>
        <v/>
      </c>
      <c r="C579" s="17">
        <f>Data!D579</f>
        <v/>
      </c>
      <c r="D579" s="64">
        <f>IFERROR(Data!G579/Data!H579,0)</f>
        <v/>
      </c>
      <c r="E579" s="64">
        <f>IFERROR(Data!L579/Data!K579,0)</f>
        <v/>
      </c>
      <c r="F579" s="65">
        <f>Data!F579-Data!E579</f>
        <v/>
      </c>
      <c r="G579" s="21">
        <f>IFERROR(Data!G579/Data!F579,0)</f>
        <v/>
      </c>
      <c r="H579" s="22">
        <f>IF(ABS(G579-Data!I579)&lt;Summary!$B$4,"OK","CHECK")</f>
        <v/>
      </c>
      <c r="I579" s="1" t="n"/>
      <c r="J579" s="1" t="n"/>
    </row>
    <row r="580">
      <c r="A580" s="17">
        <f>Data!A580</f>
        <v/>
      </c>
      <c r="B580" s="63">
        <f>Data!B580</f>
        <v/>
      </c>
      <c r="C580" s="17">
        <f>Data!D580</f>
        <v/>
      </c>
      <c r="D580" s="64">
        <f>IFERROR(Data!G580/Data!H580,0)</f>
        <v/>
      </c>
      <c r="E580" s="64">
        <f>IFERROR(Data!L580/Data!K580,0)</f>
        <v/>
      </c>
      <c r="F580" s="65">
        <f>Data!F580-Data!E580</f>
        <v/>
      </c>
      <c r="G580" s="21">
        <f>IFERROR(Data!G580/Data!F580,0)</f>
        <v/>
      </c>
      <c r="H580" s="22">
        <f>IF(ABS(G580-Data!I580)&lt;Summary!$B$4,"OK","CHECK")</f>
        <v/>
      </c>
      <c r="I580" s="1" t="n"/>
      <c r="J580" s="1" t="n"/>
    </row>
    <row r="581">
      <c r="A581" s="17">
        <f>Data!A581</f>
        <v/>
      </c>
      <c r="B581" s="63">
        <f>Data!B581</f>
        <v/>
      </c>
      <c r="C581" s="17">
        <f>Data!D581</f>
        <v/>
      </c>
      <c r="D581" s="64">
        <f>IFERROR(Data!G581/Data!H581,0)</f>
        <v/>
      </c>
      <c r="E581" s="64">
        <f>IFERROR(Data!L581/Data!K581,0)</f>
        <v/>
      </c>
      <c r="F581" s="65">
        <f>Data!F581-Data!E581</f>
        <v/>
      </c>
      <c r="G581" s="21">
        <f>IFERROR(Data!G581/Data!F581,0)</f>
        <v/>
      </c>
      <c r="H581" s="22">
        <f>IF(ABS(G581-Data!I581)&lt;Summary!$B$4,"OK","CHECK")</f>
        <v/>
      </c>
      <c r="I581" s="1" t="n"/>
      <c r="J581" s="1" t="n"/>
    </row>
    <row r="582">
      <c r="A582" s="17">
        <f>Data!A582</f>
        <v/>
      </c>
      <c r="B582" s="63">
        <f>Data!B582</f>
        <v/>
      </c>
      <c r="C582" s="17">
        <f>Data!D582</f>
        <v/>
      </c>
      <c r="D582" s="64">
        <f>IFERROR(Data!G582/Data!H582,0)</f>
        <v/>
      </c>
      <c r="E582" s="64">
        <f>IFERROR(Data!L582/Data!K582,0)</f>
        <v/>
      </c>
      <c r="F582" s="65">
        <f>Data!F582-Data!E582</f>
        <v/>
      </c>
      <c r="G582" s="21">
        <f>IFERROR(Data!G582/Data!F582,0)</f>
        <v/>
      </c>
      <c r="H582" s="22">
        <f>IF(ABS(G582-Data!I582)&lt;Summary!$B$4,"OK","CHECK")</f>
        <v/>
      </c>
      <c r="I582" s="1" t="n"/>
      <c r="J582" s="1" t="n"/>
    </row>
    <row r="583">
      <c r="A583" s="17">
        <f>Data!A583</f>
        <v/>
      </c>
      <c r="B583" s="63">
        <f>Data!B583</f>
        <v/>
      </c>
      <c r="C583" s="17">
        <f>Data!D583</f>
        <v/>
      </c>
      <c r="D583" s="64">
        <f>IFERROR(Data!G583/Data!H583,0)</f>
        <v/>
      </c>
      <c r="E583" s="64">
        <f>IFERROR(Data!L583/Data!K583,0)</f>
        <v/>
      </c>
      <c r="F583" s="65">
        <f>Data!F583-Data!E583</f>
        <v/>
      </c>
      <c r="G583" s="21">
        <f>IFERROR(Data!G583/Data!F583,0)</f>
        <v/>
      </c>
      <c r="H583" s="22">
        <f>IF(ABS(G583-Data!I583)&lt;Summary!$B$4,"OK","CHECK")</f>
        <v/>
      </c>
      <c r="I583" s="1" t="n"/>
      <c r="J583" s="1" t="n"/>
    </row>
    <row r="584">
      <c r="A584" s="17">
        <f>Data!A584</f>
        <v/>
      </c>
      <c r="B584" s="63">
        <f>Data!B584</f>
        <v/>
      </c>
      <c r="C584" s="17">
        <f>Data!D584</f>
        <v/>
      </c>
      <c r="D584" s="64">
        <f>IFERROR(Data!G584/Data!H584,0)</f>
        <v/>
      </c>
      <c r="E584" s="64">
        <f>IFERROR(Data!L584/Data!K584,0)</f>
        <v/>
      </c>
      <c r="F584" s="65">
        <f>Data!F584-Data!E584</f>
        <v/>
      </c>
      <c r="G584" s="21">
        <f>IFERROR(Data!G584/Data!F584,0)</f>
        <v/>
      </c>
      <c r="H584" s="22">
        <f>IF(ABS(G584-Data!I584)&lt;Summary!$B$4,"OK","CHECK")</f>
        <v/>
      </c>
      <c r="I584" s="1" t="n"/>
      <c r="J584" s="1" t="n"/>
    </row>
    <row r="585">
      <c r="A585" s="17">
        <f>Data!A585</f>
        <v/>
      </c>
      <c r="B585" s="63">
        <f>Data!B585</f>
        <v/>
      </c>
      <c r="C585" s="17">
        <f>Data!D585</f>
        <v/>
      </c>
      <c r="D585" s="64">
        <f>IFERROR(Data!G585/Data!H585,0)</f>
        <v/>
      </c>
      <c r="E585" s="64">
        <f>IFERROR(Data!L585/Data!K585,0)</f>
        <v/>
      </c>
      <c r="F585" s="65">
        <f>Data!F585-Data!E585</f>
        <v/>
      </c>
      <c r="G585" s="21">
        <f>IFERROR(Data!G585/Data!F585,0)</f>
        <v/>
      </c>
      <c r="H585" s="22">
        <f>IF(ABS(G585-Data!I585)&lt;Summary!$B$4,"OK","CHECK")</f>
        <v/>
      </c>
      <c r="I585" s="1" t="n"/>
      <c r="J585" s="1" t="n"/>
    </row>
    <row r="586">
      <c r="A586" s="17">
        <f>Data!A586</f>
        <v/>
      </c>
      <c r="B586" s="63">
        <f>Data!B586</f>
        <v/>
      </c>
      <c r="C586" s="17">
        <f>Data!D586</f>
        <v/>
      </c>
      <c r="D586" s="64">
        <f>IFERROR(Data!G586/Data!H586,0)</f>
        <v/>
      </c>
      <c r="E586" s="64">
        <f>IFERROR(Data!L586/Data!K586,0)</f>
        <v/>
      </c>
      <c r="F586" s="65">
        <f>Data!F586-Data!E586</f>
        <v/>
      </c>
      <c r="G586" s="21">
        <f>IFERROR(Data!G586/Data!F586,0)</f>
        <v/>
      </c>
      <c r="H586" s="22">
        <f>IF(ABS(G586-Data!I586)&lt;Summary!$B$4,"OK","CHECK")</f>
        <v/>
      </c>
      <c r="I586" s="1" t="n"/>
      <c r="J586" s="1" t="n"/>
    </row>
    <row r="587">
      <c r="A587" s="17">
        <f>Data!A587</f>
        <v/>
      </c>
      <c r="B587" s="63">
        <f>Data!B587</f>
        <v/>
      </c>
      <c r="C587" s="17">
        <f>Data!D587</f>
        <v/>
      </c>
      <c r="D587" s="64">
        <f>IFERROR(Data!G587/Data!H587,0)</f>
        <v/>
      </c>
      <c r="E587" s="64">
        <f>IFERROR(Data!L587/Data!K587,0)</f>
        <v/>
      </c>
      <c r="F587" s="65">
        <f>Data!F587-Data!E587</f>
        <v/>
      </c>
      <c r="G587" s="21">
        <f>IFERROR(Data!G587/Data!F587,0)</f>
        <v/>
      </c>
      <c r="H587" s="22">
        <f>IF(ABS(G587-Data!I587)&lt;Summary!$B$4,"OK","CHECK")</f>
        <v/>
      </c>
      <c r="I587" s="1" t="n"/>
      <c r="J587" s="1" t="n"/>
    </row>
    <row r="588">
      <c r="A588" s="17">
        <f>Data!A588</f>
        <v/>
      </c>
      <c r="B588" s="63">
        <f>Data!B588</f>
        <v/>
      </c>
      <c r="C588" s="17">
        <f>Data!D588</f>
        <v/>
      </c>
      <c r="D588" s="64">
        <f>IFERROR(Data!G588/Data!H588,0)</f>
        <v/>
      </c>
      <c r="E588" s="64">
        <f>IFERROR(Data!L588/Data!K588,0)</f>
        <v/>
      </c>
      <c r="F588" s="65">
        <f>Data!F588-Data!E588</f>
        <v/>
      </c>
      <c r="G588" s="21">
        <f>IFERROR(Data!G588/Data!F588,0)</f>
        <v/>
      </c>
      <c r="H588" s="22">
        <f>IF(ABS(G588-Data!I588)&lt;Summary!$B$4,"OK","CHECK")</f>
        <v/>
      </c>
      <c r="I588" s="1" t="n"/>
      <c r="J588" s="1" t="n"/>
    </row>
    <row r="589">
      <c r="A589" s="17">
        <f>Data!A589</f>
        <v/>
      </c>
      <c r="B589" s="63">
        <f>Data!B589</f>
        <v/>
      </c>
      <c r="C589" s="17">
        <f>Data!D589</f>
        <v/>
      </c>
      <c r="D589" s="64">
        <f>IFERROR(Data!G589/Data!H589,0)</f>
        <v/>
      </c>
      <c r="E589" s="64">
        <f>IFERROR(Data!L589/Data!K589,0)</f>
        <v/>
      </c>
      <c r="F589" s="65">
        <f>Data!F589-Data!E589</f>
        <v/>
      </c>
      <c r="G589" s="21">
        <f>IFERROR(Data!G589/Data!F589,0)</f>
        <v/>
      </c>
      <c r="H589" s="22">
        <f>IF(ABS(G589-Data!I589)&lt;Summary!$B$4,"OK","CHECK")</f>
        <v/>
      </c>
      <c r="I589" s="1" t="n"/>
      <c r="J589" s="1" t="n"/>
    </row>
    <row r="590">
      <c r="A590" s="17">
        <f>Data!A590</f>
        <v/>
      </c>
      <c r="B590" s="63">
        <f>Data!B590</f>
        <v/>
      </c>
      <c r="C590" s="17">
        <f>Data!D590</f>
        <v/>
      </c>
      <c r="D590" s="64">
        <f>IFERROR(Data!G590/Data!H590,0)</f>
        <v/>
      </c>
      <c r="E590" s="64">
        <f>IFERROR(Data!L590/Data!K590,0)</f>
        <v/>
      </c>
      <c r="F590" s="65">
        <f>Data!F590-Data!E590</f>
        <v/>
      </c>
      <c r="G590" s="21">
        <f>IFERROR(Data!G590/Data!F590,0)</f>
        <v/>
      </c>
      <c r="H590" s="22">
        <f>IF(ABS(G590-Data!I590)&lt;Summary!$B$4,"OK","CHECK")</f>
        <v/>
      </c>
      <c r="I590" s="1" t="n"/>
      <c r="J590" s="1" t="n"/>
    </row>
    <row r="591">
      <c r="A591" s="17">
        <f>Data!A591</f>
        <v/>
      </c>
      <c r="B591" s="63">
        <f>Data!B591</f>
        <v/>
      </c>
      <c r="C591" s="17">
        <f>Data!D591</f>
        <v/>
      </c>
      <c r="D591" s="64">
        <f>IFERROR(Data!G591/Data!H591,0)</f>
        <v/>
      </c>
      <c r="E591" s="64">
        <f>IFERROR(Data!L591/Data!K591,0)</f>
        <v/>
      </c>
      <c r="F591" s="65">
        <f>Data!F591-Data!E591</f>
        <v/>
      </c>
      <c r="G591" s="21">
        <f>IFERROR(Data!G591/Data!F591,0)</f>
        <v/>
      </c>
      <c r="H591" s="22">
        <f>IF(ABS(G591-Data!I591)&lt;Summary!$B$4,"OK","CHECK")</f>
        <v/>
      </c>
      <c r="I591" s="1" t="n"/>
      <c r="J591" s="1" t="n"/>
    </row>
    <row r="592">
      <c r="A592" s="17">
        <f>Data!A592</f>
        <v/>
      </c>
      <c r="B592" s="63">
        <f>Data!B592</f>
        <v/>
      </c>
      <c r="C592" s="17">
        <f>Data!D592</f>
        <v/>
      </c>
      <c r="D592" s="64">
        <f>IFERROR(Data!G592/Data!H592,0)</f>
        <v/>
      </c>
      <c r="E592" s="64">
        <f>IFERROR(Data!L592/Data!K592,0)</f>
        <v/>
      </c>
      <c r="F592" s="65">
        <f>Data!F592-Data!E592</f>
        <v/>
      </c>
      <c r="G592" s="21">
        <f>IFERROR(Data!G592/Data!F592,0)</f>
        <v/>
      </c>
      <c r="H592" s="22">
        <f>IF(ABS(G592-Data!I592)&lt;Summary!$B$4,"OK","CHECK")</f>
        <v/>
      </c>
      <c r="I592" s="1" t="n"/>
      <c r="J592" s="1" t="n"/>
    </row>
    <row r="593">
      <c r="A593" s="17">
        <f>Data!A593</f>
        <v/>
      </c>
      <c r="B593" s="63">
        <f>Data!B593</f>
        <v/>
      </c>
      <c r="C593" s="17">
        <f>Data!D593</f>
        <v/>
      </c>
      <c r="D593" s="64">
        <f>IFERROR(Data!G593/Data!H593,0)</f>
        <v/>
      </c>
      <c r="E593" s="64">
        <f>IFERROR(Data!L593/Data!K593,0)</f>
        <v/>
      </c>
      <c r="F593" s="65">
        <f>Data!F593-Data!E593</f>
        <v/>
      </c>
      <c r="G593" s="21">
        <f>IFERROR(Data!G593/Data!F593,0)</f>
        <v/>
      </c>
      <c r="H593" s="22">
        <f>IF(ABS(G593-Data!I593)&lt;Summary!$B$4,"OK","CHECK")</f>
        <v/>
      </c>
      <c r="I593" s="1" t="n"/>
      <c r="J593" s="1" t="n"/>
    </row>
    <row r="594">
      <c r="A594" s="17">
        <f>Data!A594</f>
        <v/>
      </c>
      <c r="B594" s="63">
        <f>Data!B594</f>
        <v/>
      </c>
      <c r="C594" s="17">
        <f>Data!D594</f>
        <v/>
      </c>
      <c r="D594" s="64">
        <f>IFERROR(Data!G594/Data!H594,0)</f>
        <v/>
      </c>
      <c r="E594" s="64">
        <f>IFERROR(Data!L594/Data!K594,0)</f>
        <v/>
      </c>
      <c r="F594" s="65">
        <f>Data!F594-Data!E594</f>
        <v/>
      </c>
      <c r="G594" s="21">
        <f>IFERROR(Data!G594/Data!F594,0)</f>
        <v/>
      </c>
      <c r="H594" s="22">
        <f>IF(ABS(G594-Data!I594)&lt;Summary!$B$4,"OK","CHECK")</f>
        <v/>
      </c>
      <c r="I594" s="1" t="n"/>
      <c r="J594" s="1" t="n"/>
    </row>
    <row r="595">
      <c r="A595" s="17">
        <f>Data!A595</f>
        <v/>
      </c>
      <c r="B595" s="63">
        <f>Data!B595</f>
        <v/>
      </c>
      <c r="C595" s="17">
        <f>Data!D595</f>
        <v/>
      </c>
      <c r="D595" s="64">
        <f>IFERROR(Data!G595/Data!H595,0)</f>
        <v/>
      </c>
      <c r="E595" s="64">
        <f>IFERROR(Data!L595/Data!K595,0)</f>
        <v/>
      </c>
      <c r="F595" s="65">
        <f>Data!F595-Data!E595</f>
        <v/>
      </c>
      <c r="G595" s="21">
        <f>IFERROR(Data!G595/Data!F595,0)</f>
        <v/>
      </c>
      <c r="H595" s="22">
        <f>IF(ABS(G595-Data!I595)&lt;Summary!$B$4,"OK","CHECK")</f>
        <v/>
      </c>
      <c r="I595" s="1" t="n"/>
      <c r="J595" s="1" t="n"/>
    </row>
    <row r="596">
      <c r="A596" s="17">
        <f>Data!A596</f>
        <v/>
      </c>
      <c r="B596" s="63">
        <f>Data!B596</f>
        <v/>
      </c>
      <c r="C596" s="17">
        <f>Data!D596</f>
        <v/>
      </c>
      <c r="D596" s="64">
        <f>IFERROR(Data!G596/Data!H596,0)</f>
        <v/>
      </c>
      <c r="E596" s="64">
        <f>IFERROR(Data!L596/Data!K596,0)</f>
        <v/>
      </c>
      <c r="F596" s="65">
        <f>Data!F596-Data!E596</f>
        <v/>
      </c>
      <c r="G596" s="21">
        <f>IFERROR(Data!G596/Data!F596,0)</f>
        <v/>
      </c>
      <c r="H596" s="22">
        <f>IF(ABS(G596-Data!I596)&lt;Summary!$B$4,"OK","CHECK")</f>
        <v/>
      </c>
      <c r="I596" s="1" t="n"/>
      <c r="J596" s="1" t="n"/>
    </row>
    <row r="597">
      <c r="A597" s="17">
        <f>Data!A597</f>
        <v/>
      </c>
      <c r="B597" s="63">
        <f>Data!B597</f>
        <v/>
      </c>
      <c r="C597" s="17">
        <f>Data!D597</f>
        <v/>
      </c>
      <c r="D597" s="64">
        <f>IFERROR(Data!G597/Data!H597,0)</f>
        <v/>
      </c>
      <c r="E597" s="64">
        <f>IFERROR(Data!L597/Data!K597,0)</f>
        <v/>
      </c>
      <c r="F597" s="65">
        <f>Data!F597-Data!E597</f>
        <v/>
      </c>
      <c r="G597" s="21">
        <f>IFERROR(Data!G597/Data!F597,0)</f>
        <v/>
      </c>
      <c r="H597" s="22">
        <f>IF(ABS(G597-Data!I597)&lt;Summary!$B$4,"OK","CHECK")</f>
        <v/>
      </c>
      <c r="I597" s="1" t="n"/>
      <c r="J597" s="1" t="n"/>
    </row>
    <row r="598">
      <c r="A598" s="17">
        <f>Data!A598</f>
        <v/>
      </c>
      <c r="B598" s="63">
        <f>Data!B598</f>
        <v/>
      </c>
      <c r="C598" s="17">
        <f>Data!D598</f>
        <v/>
      </c>
      <c r="D598" s="64">
        <f>IFERROR(Data!G598/Data!H598,0)</f>
        <v/>
      </c>
      <c r="E598" s="64">
        <f>IFERROR(Data!L598/Data!K598,0)</f>
        <v/>
      </c>
      <c r="F598" s="65">
        <f>Data!F598-Data!E598</f>
        <v/>
      </c>
      <c r="G598" s="21">
        <f>IFERROR(Data!G598/Data!F598,0)</f>
        <v/>
      </c>
      <c r="H598" s="22">
        <f>IF(ABS(G598-Data!I598)&lt;Summary!$B$4,"OK","CHECK")</f>
        <v/>
      </c>
      <c r="I598" s="1" t="n"/>
      <c r="J598" s="1" t="n"/>
    </row>
    <row r="599">
      <c r="A599" s="17">
        <f>Data!A599</f>
        <v/>
      </c>
      <c r="B599" s="63">
        <f>Data!B599</f>
        <v/>
      </c>
      <c r="C599" s="17">
        <f>Data!D599</f>
        <v/>
      </c>
      <c r="D599" s="64">
        <f>IFERROR(Data!G599/Data!H599,0)</f>
        <v/>
      </c>
      <c r="E599" s="64">
        <f>IFERROR(Data!L599/Data!K599,0)</f>
        <v/>
      </c>
      <c r="F599" s="65">
        <f>Data!F599-Data!E599</f>
        <v/>
      </c>
      <c r="G599" s="21">
        <f>IFERROR(Data!G599/Data!F599,0)</f>
        <v/>
      </c>
      <c r="H599" s="22">
        <f>IF(ABS(G599-Data!I599)&lt;Summary!$B$4,"OK","CHECK")</f>
        <v/>
      </c>
      <c r="I599" s="1" t="n"/>
      <c r="J599" s="1" t="n"/>
    </row>
    <row r="600">
      <c r="A600" s="17">
        <f>Data!A600</f>
        <v/>
      </c>
      <c r="B600" s="63">
        <f>Data!B600</f>
        <v/>
      </c>
      <c r="C600" s="17">
        <f>Data!D600</f>
        <v/>
      </c>
      <c r="D600" s="64">
        <f>IFERROR(Data!G600/Data!H600,0)</f>
        <v/>
      </c>
      <c r="E600" s="64">
        <f>IFERROR(Data!L600/Data!K600,0)</f>
        <v/>
      </c>
      <c r="F600" s="65">
        <f>Data!F600-Data!E600</f>
        <v/>
      </c>
      <c r="G600" s="21">
        <f>IFERROR(Data!G600/Data!F600,0)</f>
        <v/>
      </c>
      <c r="H600" s="22">
        <f>IF(ABS(G600-Data!I600)&lt;Summary!$B$4,"OK","CHECK")</f>
        <v/>
      </c>
      <c r="I600" s="1" t="n"/>
      <c r="J600" s="1" t="n"/>
    </row>
    <row r="601">
      <c r="A601" s="17">
        <f>Data!A601</f>
        <v/>
      </c>
      <c r="B601" s="63">
        <f>Data!B601</f>
        <v/>
      </c>
      <c r="C601" s="17">
        <f>Data!D601</f>
        <v/>
      </c>
      <c r="D601" s="64">
        <f>IFERROR(Data!G601/Data!H601,0)</f>
        <v/>
      </c>
      <c r="E601" s="64">
        <f>IFERROR(Data!L601/Data!K601,0)</f>
        <v/>
      </c>
      <c r="F601" s="65">
        <f>Data!F601-Data!E601</f>
        <v/>
      </c>
      <c r="G601" s="21">
        <f>IFERROR(Data!G601/Data!F601,0)</f>
        <v/>
      </c>
      <c r="H601" s="22">
        <f>IF(ABS(G601-Data!I601)&lt;Summary!$B$4,"OK","CHECK")</f>
        <v/>
      </c>
      <c r="I601" s="1" t="n"/>
      <c r="J601" s="1" t="n"/>
    </row>
  </sheetData>
  <conditionalFormatting sqref="H2:H601">
    <cfRule type="cellIs" priority="1" operator="equal" dxfId="0">
      <formula>"CHECK"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4" t="inlineStr">
        <is>
          <t>Summary tables (SUMIFS / SUMPRODUCT over the Data sheet)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3" t="inlineStr">
        <is>
          <t>Every figure below is a formula over named ranges on the Data sheet (Admissions, Discharges, Bed_Days, ...). Nothing is typed in except the blue cells.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1" t="inlineStr">
        <is>
          <t>LOS rounding tolerance</t>
        </is>
      </c>
      <c r="B4" s="25" t="n">
        <v>0.01</v>
      </c>
      <c r="C4" s="23" t="inlineStr">
        <is>
          <t>Used by Calculations!H. Stored LOS is rounded to 2 dp, so a 0.01 tolerance is expected.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6" t="inlineStr">
        <is>
          <t>METRICS BY DEPARTMENT (full year)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0" t="inlineStr">
        <is>
          <t>Department</t>
        </is>
      </c>
      <c r="B7" s="10" t="inlineStr">
        <is>
          <t>Admissions</t>
        </is>
      </c>
      <c r="C7" s="10" t="inlineStr">
        <is>
          <t>Discharges</t>
        </is>
      </c>
      <c r="D7" s="10" t="inlineStr">
        <is>
          <t>Total Bed Days</t>
        </is>
      </c>
      <c r="E7" s="10" t="inlineStr">
        <is>
          <t>Available Bed Days</t>
        </is>
      </c>
      <c r="F7" s="10" t="inlineStr">
        <is>
          <t>Occupancy Rate</t>
        </is>
      </c>
      <c r="G7" s="10" t="inlineStr">
        <is>
          <t>Avg LOS (weighted)</t>
        </is>
      </c>
      <c r="H7" s="10" t="inlineStr">
        <is>
          <t>Billing Cycle (weighted)</t>
        </is>
      </c>
      <c r="I7" s="10" t="inlineStr">
        <is>
          <t>Claims Submitted</t>
        </is>
      </c>
      <c r="J7" s="10" t="inlineStr">
        <is>
          <t>Claims Denied</t>
        </is>
      </c>
      <c r="K7" s="10" t="inlineStr">
        <is>
          <t>Denial Rate</t>
        </is>
      </c>
    </row>
    <row r="8">
      <c r="A8" s="26" t="inlineStr">
        <is>
          <t>Cardiology</t>
        </is>
      </c>
      <c r="B8" s="27">
        <f>SUMIFS(Admissions,Dept_Col,$A8)</f>
        <v/>
      </c>
      <c r="C8" s="27">
        <f>SUMIFS(Discharges,Dept_Col,$A8)</f>
        <v/>
      </c>
      <c r="D8" s="27">
        <f>SUMIFS(Bed_Days,Dept_Col,$A8)</f>
        <v/>
      </c>
      <c r="E8" s="27">
        <f>SUMIFS(Available_Bed_Days,Dept_Col,$A8)</f>
        <v/>
      </c>
      <c r="F8" s="66">
        <f>IFERROR(D8/E8,0)</f>
        <v/>
      </c>
      <c r="G8" s="29">
        <f>IFERROR(D8/C8,0)</f>
        <v/>
      </c>
      <c r="H8" s="67">
        <f>IFERROR(SUMPRODUCT((Dept_Col=$A8)*Billing_Days*Discharges)/C8,0)</f>
        <v/>
      </c>
      <c r="I8" s="27">
        <f>SUMIFS(Claims_Submitted,Dept_Col,$A8)</f>
        <v/>
      </c>
      <c r="J8" s="27">
        <f>SUMIFS(Claims_Denied,Dept_Col,$A8)</f>
        <v/>
      </c>
      <c r="K8" s="66">
        <f>IFERROR(J8/I8,0)</f>
        <v/>
      </c>
    </row>
    <row r="9">
      <c r="A9" s="26" t="inlineStr">
        <is>
          <t>Orthopaedics</t>
        </is>
      </c>
      <c r="B9" s="27">
        <f>SUMIFS(Admissions,Dept_Col,$A9)</f>
        <v/>
      </c>
      <c r="C9" s="27">
        <f>SUMIFS(Discharges,Dept_Col,$A9)</f>
        <v/>
      </c>
      <c r="D9" s="27">
        <f>SUMIFS(Bed_Days,Dept_Col,$A9)</f>
        <v/>
      </c>
      <c r="E9" s="27">
        <f>SUMIFS(Available_Bed_Days,Dept_Col,$A9)</f>
        <v/>
      </c>
      <c r="F9" s="66">
        <f>IFERROR(D9/E9,0)</f>
        <v/>
      </c>
      <c r="G9" s="29">
        <f>IFERROR(D9/C9,0)</f>
        <v/>
      </c>
      <c r="H9" s="67">
        <f>IFERROR(SUMPRODUCT((Dept_Col=$A9)*Billing_Days*Discharges)/C9,0)</f>
        <v/>
      </c>
      <c r="I9" s="27">
        <f>SUMIFS(Claims_Submitted,Dept_Col,$A9)</f>
        <v/>
      </c>
      <c r="J9" s="27">
        <f>SUMIFS(Claims_Denied,Dept_Col,$A9)</f>
        <v/>
      </c>
      <c r="K9" s="66">
        <f>IFERROR(J9/I9,0)</f>
        <v/>
      </c>
    </row>
    <row r="10">
      <c r="A10" s="26" t="inlineStr">
        <is>
          <t>General Medicine</t>
        </is>
      </c>
      <c r="B10" s="27">
        <f>SUMIFS(Admissions,Dept_Col,$A10)</f>
        <v/>
      </c>
      <c r="C10" s="27">
        <f>SUMIFS(Discharges,Dept_Col,$A10)</f>
        <v/>
      </c>
      <c r="D10" s="27">
        <f>SUMIFS(Bed_Days,Dept_Col,$A10)</f>
        <v/>
      </c>
      <c r="E10" s="27">
        <f>SUMIFS(Available_Bed_Days,Dept_Col,$A10)</f>
        <v/>
      </c>
      <c r="F10" s="66">
        <f>IFERROR(D10/E10,0)</f>
        <v/>
      </c>
      <c r="G10" s="29">
        <f>IFERROR(D10/C10,0)</f>
        <v/>
      </c>
      <c r="H10" s="67">
        <f>IFERROR(SUMPRODUCT((Dept_Col=$A10)*Billing_Days*Discharges)/C10,0)</f>
        <v/>
      </c>
      <c r="I10" s="27">
        <f>SUMIFS(Claims_Submitted,Dept_Col,$A10)</f>
        <v/>
      </c>
      <c r="J10" s="27">
        <f>SUMIFS(Claims_Denied,Dept_Col,$A10)</f>
        <v/>
      </c>
      <c r="K10" s="66">
        <f>IFERROR(J10/I10,0)</f>
        <v/>
      </c>
    </row>
    <row r="11">
      <c r="A11" s="26" t="inlineStr">
        <is>
          <t>Nephrology</t>
        </is>
      </c>
      <c r="B11" s="27">
        <f>SUMIFS(Admissions,Dept_Col,$A11)</f>
        <v/>
      </c>
      <c r="C11" s="27">
        <f>SUMIFS(Discharges,Dept_Col,$A11)</f>
        <v/>
      </c>
      <c r="D11" s="27">
        <f>SUMIFS(Bed_Days,Dept_Col,$A11)</f>
        <v/>
      </c>
      <c r="E11" s="27">
        <f>SUMIFS(Available_Bed_Days,Dept_Col,$A11)</f>
        <v/>
      </c>
      <c r="F11" s="66">
        <f>IFERROR(D11/E11,0)</f>
        <v/>
      </c>
      <c r="G11" s="29">
        <f>IFERROR(D11/C11,0)</f>
        <v/>
      </c>
      <c r="H11" s="67">
        <f>IFERROR(SUMPRODUCT((Dept_Col=$A11)*Billing_Days*Discharges)/C11,0)</f>
        <v/>
      </c>
      <c r="I11" s="27">
        <f>SUMIFS(Claims_Submitted,Dept_Col,$A11)</f>
        <v/>
      </c>
      <c r="J11" s="27">
        <f>SUMIFS(Claims_Denied,Dept_Col,$A11)</f>
        <v/>
      </c>
      <c r="K11" s="66">
        <f>IFERROR(J11/I11,0)</f>
        <v/>
      </c>
    </row>
    <row r="12">
      <c r="A12" s="26" t="inlineStr">
        <is>
          <t>Paediatrics</t>
        </is>
      </c>
      <c r="B12" s="27">
        <f>SUMIFS(Admissions,Dept_Col,$A12)</f>
        <v/>
      </c>
      <c r="C12" s="27">
        <f>SUMIFS(Discharges,Dept_Col,$A12)</f>
        <v/>
      </c>
      <c r="D12" s="27">
        <f>SUMIFS(Bed_Days,Dept_Col,$A12)</f>
        <v/>
      </c>
      <c r="E12" s="27">
        <f>SUMIFS(Available_Bed_Days,Dept_Col,$A12)</f>
        <v/>
      </c>
      <c r="F12" s="66">
        <f>IFERROR(D12/E12,0)</f>
        <v/>
      </c>
      <c r="G12" s="29">
        <f>IFERROR(D12/C12,0)</f>
        <v/>
      </c>
      <c r="H12" s="67">
        <f>IFERROR(SUMPRODUCT((Dept_Col=$A12)*Billing_Days*Discharges)/C12,0)</f>
        <v/>
      </c>
      <c r="I12" s="27">
        <f>SUMIFS(Claims_Submitted,Dept_Col,$A12)</f>
        <v/>
      </c>
      <c r="J12" s="27">
        <f>SUMIFS(Claims_Denied,Dept_Col,$A12)</f>
        <v/>
      </c>
      <c r="K12" s="66">
        <f>IFERROR(J12/I12,0)</f>
        <v/>
      </c>
    </row>
    <row r="13">
      <c r="A13" s="31" t="inlineStr">
        <is>
          <t>Network total</t>
        </is>
      </c>
      <c r="B13" s="32">
        <f>SUM(B8:B12)</f>
        <v/>
      </c>
      <c r="C13" s="32">
        <f>SUM(C8:C12)</f>
        <v/>
      </c>
      <c r="D13" s="32">
        <f>SUM(D8:D12)</f>
        <v/>
      </c>
      <c r="E13" s="32">
        <f>SUM(E8:E12)</f>
        <v/>
      </c>
      <c r="F13" s="68">
        <f>IFERROR(D13/E13,0)</f>
        <v/>
      </c>
      <c r="G13" s="34">
        <f>IFERROR(D13/C13,0)</f>
        <v/>
      </c>
      <c r="H13" s="69">
        <f>IFERROR(SUMPRODUCT(Billing_Days,Discharges)/C13,0)</f>
        <v/>
      </c>
      <c r="I13" s="32">
        <f>SUM(I8:I12)</f>
        <v/>
      </c>
      <c r="J13" s="32">
        <f>SUM(J8:J12)</f>
        <v/>
      </c>
      <c r="K13" s="68">
        <f>IFERROR(J13/I13,0)</f>
        <v/>
      </c>
    </row>
    <row r="14">
      <c r="A14" s="23" t="inlineStr">
        <is>
          <t>Weighted LOS = total bed days / total discharges. Plain average of the five department LOS values would be wrong; see Read Me.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3" t="inlineStr">
        <is>
          <t>Weighted billing cycle = SUMPRODUCT((Dept_Col = dept) * Billing_Days * Discharges) / Discharges. The boolean test inside SUMPRODUCT acts as the filter.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6" t="inlineStr">
        <is>
          <t>METRICS BY MONTH (all sites, all departments)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0" t="inlineStr">
        <is>
          <t>Month</t>
        </is>
      </c>
      <c r="B18" s="10" t="inlineStr">
        <is>
          <t>Admissions</t>
        </is>
      </c>
      <c r="C18" s="10" t="inlineStr">
        <is>
          <t>Discharges</t>
        </is>
      </c>
      <c r="D18" s="10" t="inlineStr">
        <is>
          <t>Total Bed Days</t>
        </is>
      </c>
      <c r="E18" s="10" t="inlineStr">
        <is>
          <t>Available Bed Days</t>
        </is>
      </c>
      <c r="F18" s="10" t="inlineStr">
        <is>
          <t>Occupancy Rate</t>
        </is>
      </c>
      <c r="G18" s="10" t="inlineStr">
        <is>
          <t>Avg LOS (weighted)</t>
        </is>
      </c>
      <c r="H18" s="10" t="inlineStr">
        <is>
          <t>Billing Cycle (weighted)</t>
        </is>
      </c>
      <c r="I18" s="10" t="inlineStr">
        <is>
          <t>Claims Submitted</t>
        </is>
      </c>
      <c r="J18" s="10" t="inlineStr">
        <is>
          <t>Claims Denied</t>
        </is>
      </c>
      <c r="K18" s="10" t="inlineStr">
        <is>
          <t>Denial Rate</t>
        </is>
      </c>
    </row>
    <row r="19">
      <c r="A19" s="70" t="n">
        <v>45658</v>
      </c>
      <c r="B19" s="27">
        <f>SUMIFS(Admissions,Month_Col,$A19)</f>
        <v/>
      </c>
      <c r="C19" s="27">
        <f>SUMIFS(Discharges,Month_Col,$A19)</f>
        <v/>
      </c>
      <c r="D19" s="27">
        <f>SUMIFS(Bed_Days,Month_Col,$A19)</f>
        <v/>
      </c>
      <c r="E19" s="27">
        <f>SUMIFS(Available_Bed_Days,Month_Col,$A19)</f>
        <v/>
      </c>
      <c r="F19" s="66">
        <f>IFERROR(D19/E19,0)</f>
        <v/>
      </c>
      <c r="G19" s="29">
        <f>IFERROR(D19/C19,0)</f>
        <v/>
      </c>
      <c r="H19" s="67">
        <f>IFERROR(SUMPRODUCT((Month_Col=$A19)*Billing_Days*Discharges)/C19,0)</f>
        <v/>
      </c>
      <c r="I19" s="27">
        <f>SUMIFS(Claims_Submitted,Month_Col,$A19)</f>
        <v/>
      </c>
      <c r="J19" s="27">
        <f>SUMIFS(Claims_Denied,Month_Col,$A19)</f>
        <v/>
      </c>
      <c r="K19" s="66">
        <f>IFERROR(J19/I19,0)</f>
        <v/>
      </c>
    </row>
    <row r="20">
      <c r="A20" s="70" t="n">
        <v>45689</v>
      </c>
      <c r="B20" s="27">
        <f>SUMIFS(Admissions,Month_Col,$A20)</f>
        <v/>
      </c>
      <c r="C20" s="27">
        <f>SUMIFS(Discharges,Month_Col,$A20)</f>
        <v/>
      </c>
      <c r="D20" s="27">
        <f>SUMIFS(Bed_Days,Month_Col,$A20)</f>
        <v/>
      </c>
      <c r="E20" s="27">
        <f>SUMIFS(Available_Bed_Days,Month_Col,$A20)</f>
        <v/>
      </c>
      <c r="F20" s="66">
        <f>IFERROR(D20/E20,0)</f>
        <v/>
      </c>
      <c r="G20" s="29">
        <f>IFERROR(D20/C20,0)</f>
        <v/>
      </c>
      <c r="H20" s="67">
        <f>IFERROR(SUMPRODUCT((Month_Col=$A20)*Billing_Days*Discharges)/C20,0)</f>
        <v/>
      </c>
      <c r="I20" s="27">
        <f>SUMIFS(Claims_Submitted,Month_Col,$A20)</f>
        <v/>
      </c>
      <c r="J20" s="27">
        <f>SUMIFS(Claims_Denied,Month_Col,$A20)</f>
        <v/>
      </c>
      <c r="K20" s="66">
        <f>IFERROR(J20/I20,0)</f>
        <v/>
      </c>
    </row>
    <row r="21">
      <c r="A21" s="70" t="n">
        <v>45717</v>
      </c>
      <c r="B21" s="27">
        <f>SUMIFS(Admissions,Month_Col,$A21)</f>
        <v/>
      </c>
      <c r="C21" s="27">
        <f>SUMIFS(Discharges,Month_Col,$A21)</f>
        <v/>
      </c>
      <c r="D21" s="27">
        <f>SUMIFS(Bed_Days,Month_Col,$A21)</f>
        <v/>
      </c>
      <c r="E21" s="27">
        <f>SUMIFS(Available_Bed_Days,Month_Col,$A21)</f>
        <v/>
      </c>
      <c r="F21" s="66">
        <f>IFERROR(D21/E21,0)</f>
        <v/>
      </c>
      <c r="G21" s="29">
        <f>IFERROR(D21/C21,0)</f>
        <v/>
      </c>
      <c r="H21" s="67">
        <f>IFERROR(SUMPRODUCT((Month_Col=$A21)*Billing_Days*Discharges)/C21,0)</f>
        <v/>
      </c>
      <c r="I21" s="27">
        <f>SUMIFS(Claims_Submitted,Month_Col,$A21)</f>
        <v/>
      </c>
      <c r="J21" s="27">
        <f>SUMIFS(Claims_Denied,Month_Col,$A21)</f>
        <v/>
      </c>
      <c r="K21" s="66">
        <f>IFERROR(J21/I21,0)</f>
        <v/>
      </c>
    </row>
    <row r="22">
      <c r="A22" s="70" t="n">
        <v>45748</v>
      </c>
      <c r="B22" s="27">
        <f>SUMIFS(Admissions,Month_Col,$A22)</f>
        <v/>
      </c>
      <c r="C22" s="27">
        <f>SUMIFS(Discharges,Month_Col,$A22)</f>
        <v/>
      </c>
      <c r="D22" s="27">
        <f>SUMIFS(Bed_Days,Month_Col,$A22)</f>
        <v/>
      </c>
      <c r="E22" s="27">
        <f>SUMIFS(Available_Bed_Days,Month_Col,$A22)</f>
        <v/>
      </c>
      <c r="F22" s="66">
        <f>IFERROR(D22/E22,0)</f>
        <v/>
      </c>
      <c r="G22" s="29">
        <f>IFERROR(D22/C22,0)</f>
        <v/>
      </c>
      <c r="H22" s="67">
        <f>IFERROR(SUMPRODUCT((Month_Col=$A22)*Billing_Days*Discharges)/C22,0)</f>
        <v/>
      </c>
      <c r="I22" s="27">
        <f>SUMIFS(Claims_Submitted,Month_Col,$A22)</f>
        <v/>
      </c>
      <c r="J22" s="27">
        <f>SUMIFS(Claims_Denied,Month_Col,$A22)</f>
        <v/>
      </c>
      <c r="K22" s="66">
        <f>IFERROR(J22/I22,0)</f>
        <v/>
      </c>
    </row>
    <row r="23">
      <c r="A23" s="70" t="n">
        <v>45778</v>
      </c>
      <c r="B23" s="27">
        <f>SUMIFS(Admissions,Month_Col,$A23)</f>
        <v/>
      </c>
      <c r="C23" s="27">
        <f>SUMIFS(Discharges,Month_Col,$A23)</f>
        <v/>
      </c>
      <c r="D23" s="27">
        <f>SUMIFS(Bed_Days,Month_Col,$A23)</f>
        <v/>
      </c>
      <c r="E23" s="27">
        <f>SUMIFS(Available_Bed_Days,Month_Col,$A23)</f>
        <v/>
      </c>
      <c r="F23" s="66">
        <f>IFERROR(D23/E23,0)</f>
        <v/>
      </c>
      <c r="G23" s="29">
        <f>IFERROR(D23/C23,0)</f>
        <v/>
      </c>
      <c r="H23" s="67">
        <f>IFERROR(SUMPRODUCT((Month_Col=$A23)*Billing_Days*Discharges)/C23,0)</f>
        <v/>
      </c>
      <c r="I23" s="27">
        <f>SUMIFS(Claims_Submitted,Month_Col,$A23)</f>
        <v/>
      </c>
      <c r="J23" s="27">
        <f>SUMIFS(Claims_Denied,Month_Col,$A23)</f>
        <v/>
      </c>
      <c r="K23" s="66">
        <f>IFERROR(J23/I23,0)</f>
        <v/>
      </c>
    </row>
    <row r="24">
      <c r="A24" s="70" t="n">
        <v>45809</v>
      </c>
      <c r="B24" s="27">
        <f>SUMIFS(Admissions,Month_Col,$A24)</f>
        <v/>
      </c>
      <c r="C24" s="27">
        <f>SUMIFS(Discharges,Month_Col,$A24)</f>
        <v/>
      </c>
      <c r="D24" s="27">
        <f>SUMIFS(Bed_Days,Month_Col,$A24)</f>
        <v/>
      </c>
      <c r="E24" s="27">
        <f>SUMIFS(Available_Bed_Days,Month_Col,$A24)</f>
        <v/>
      </c>
      <c r="F24" s="66">
        <f>IFERROR(D24/E24,0)</f>
        <v/>
      </c>
      <c r="G24" s="29">
        <f>IFERROR(D24/C24,0)</f>
        <v/>
      </c>
      <c r="H24" s="67">
        <f>IFERROR(SUMPRODUCT((Month_Col=$A24)*Billing_Days*Discharges)/C24,0)</f>
        <v/>
      </c>
      <c r="I24" s="27">
        <f>SUMIFS(Claims_Submitted,Month_Col,$A24)</f>
        <v/>
      </c>
      <c r="J24" s="27">
        <f>SUMIFS(Claims_Denied,Month_Col,$A24)</f>
        <v/>
      </c>
      <c r="K24" s="66">
        <f>IFERROR(J24/I24,0)</f>
        <v/>
      </c>
    </row>
    <row r="25">
      <c r="A25" s="70" t="n">
        <v>45839</v>
      </c>
      <c r="B25" s="27">
        <f>SUMIFS(Admissions,Month_Col,$A25)</f>
        <v/>
      </c>
      <c r="C25" s="27">
        <f>SUMIFS(Discharges,Month_Col,$A25)</f>
        <v/>
      </c>
      <c r="D25" s="27">
        <f>SUMIFS(Bed_Days,Month_Col,$A25)</f>
        <v/>
      </c>
      <c r="E25" s="27">
        <f>SUMIFS(Available_Bed_Days,Month_Col,$A25)</f>
        <v/>
      </c>
      <c r="F25" s="66">
        <f>IFERROR(D25/E25,0)</f>
        <v/>
      </c>
      <c r="G25" s="29">
        <f>IFERROR(D25/C25,0)</f>
        <v/>
      </c>
      <c r="H25" s="67">
        <f>IFERROR(SUMPRODUCT((Month_Col=$A25)*Billing_Days*Discharges)/C25,0)</f>
        <v/>
      </c>
      <c r="I25" s="27">
        <f>SUMIFS(Claims_Submitted,Month_Col,$A25)</f>
        <v/>
      </c>
      <c r="J25" s="27">
        <f>SUMIFS(Claims_Denied,Month_Col,$A25)</f>
        <v/>
      </c>
      <c r="K25" s="66">
        <f>IFERROR(J25/I25,0)</f>
        <v/>
      </c>
    </row>
    <row r="26">
      <c r="A26" s="70" t="n">
        <v>45870</v>
      </c>
      <c r="B26" s="27">
        <f>SUMIFS(Admissions,Month_Col,$A26)</f>
        <v/>
      </c>
      <c r="C26" s="27">
        <f>SUMIFS(Discharges,Month_Col,$A26)</f>
        <v/>
      </c>
      <c r="D26" s="27">
        <f>SUMIFS(Bed_Days,Month_Col,$A26)</f>
        <v/>
      </c>
      <c r="E26" s="27">
        <f>SUMIFS(Available_Bed_Days,Month_Col,$A26)</f>
        <v/>
      </c>
      <c r="F26" s="66">
        <f>IFERROR(D26/E26,0)</f>
        <v/>
      </c>
      <c r="G26" s="29">
        <f>IFERROR(D26/C26,0)</f>
        <v/>
      </c>
      <c r="H26" s="67">
        <f>IFERROR(SUMPRODUCT((Month_Col=$A26)*Billing_Days*Discharges)/C26,0)</f>
        <v/>
      </c>
      <c r="I26" s="27">
        <f>SUMIFS(Claims_Submitted,Month_Col,$A26)</f>
        <v/>
      </c>
      <c r="J26" s="27">
        <f>SUMIFS(Claims_Denied,Month_Col,$A26)</f>
        <v/>
      </c>
      <c r="K26" s="66">
        <f>IFERROR(J26/I26,0)</f>
        <v/>
      </c>
    </row>
    <row r="27">
      <c r="A27" s="70" t="n">
        <v>45901</v>
      </c>
      <c r="B27" s="27">
        <f>SUMIFS(Admissions,Month_Col,$A27)</f>
        <v/>
      </c>
      <c r="C27" s="27">
        <f>SUMIFS(Discharges,Month_Col,$A27)</f>
        <v/>
      </c>
      <c r="D27" s="27">
        <f>SUMIFS(Bed_Days,Month_Col,$A27)</f>
        <v/>
      </c>
      <c r="E27" s="27">
        <f>SUMIFS(Available_Bed_Days,Month_Col,$A27)</f>
        <v/>
      </c>
      <c r="F27" s="66">
        <f>IFERROR(D27/E27,0)</f>
        <v/>
      </c>
      <c r="G27" s="29">
        <f>IFERROR(D27/C27,0)</f>
        <v/>
      </c>
      <c r="H27" s="67">
        <f>IFERROR(SUMPRODUCT((Month_Col=$A27)*Billing_Days*Discharges)/C27,0)</f>
        <v/>
      </c>
      <c r="I27" s="27">
        <f>SUMIFS(Claims_Submitted,Month_Col,$A27)</f>
        <v/>
      </c>
      <c r="J27" s="27">
        <f>SUMIFS(Claims_Denied,Month_Col,$A27)</f>
        <v/>
      </c>
      <c r="K27" s="66">
        <f>IFERROR(J27/I27,0)</f>
        <v/>
      </c>
    </row>
    <row r="28">
      <c r="A28" s="70" t="n">
        <v>45931</v>
      </c>
      <c r="B28" s="27">
        <f>SUMIFS(Admissions,Month_Col,$A28)</f>
        <v/>
      </c>
      <c r="C28" s="27">
        <f>SUMIFS(Discharges,Month_Col,$A28)</f>
        <v/>
      </c>
      <c r="D28" s="27">
        <f>SUMIFS(Bed_Days,Month_Col,$A28)</f>
        <v/>
      </c>
      <c r="E28" s="27">
        <f>SUMIFS(Available_Bed_Days,Month_Col,$A28)</f>
        <v/>
      </c>
      <c r="F28" s="66">
        <f>IFERROR(D28/E28,0)</f>
        <v/>
      </c>
      <c r="G28" s="29">
        <f>IFERROR(D28/C28,0)</f>
        <v/>
      </c>
      <c r="H28" s="67">
        <f>IFERROR(SUMPRODUCT((Month_Col=$A28)*Billing_Days*Discharges)/C28,0)</f>
        <v/>
      </c>
      <c r="I28" s="27">
        <f>SUMIFS(Claims_Submitted,Month_Col,$A28)</f>
        <v/>
      </c>
      <c r="J28" s="27">
        <f>SUMIFS(Claims_Denied,Month_Col,$A28)</f>
        <v/>
      </c>
      <c r="K28" s="66">
        <f>IFERROR(J28/I28,0)</f>
        <v/>
      </c>
    </row>
    <row r="29">
      <c r="A29" s="70" t="n">
        <v>45962</v>
      </c>
      <c r="B29" s="27">
        <f>SUMIFS(Admissions,Month_Col,$A29)</f>
        <v/>
      </c>
      <c r="C29" s="27">
        <f>SUMIFS(Discharges,Month_Col,$A29)</f>
        <v/>
      </c>
      <c r="D29" s="27">
        <f>SUMIFS(Bed_Days,Month_Col,$A29)</f>
        <v/>
      </c>
      <c r="E29" s="27">
        <f>SUMIFS(Available_Bed_Days,Month_Col,$A29)</f>
        <v/>
      </c>
      <c r="F29" s="66">
        <f>IFERROR(D29/E29,0)</f>
        <v/>
      </c>
      <c r="G29" s="29">
        <f>IFERROR(D29/C29,0)</f>
        <v/>
      </c>
      <c r="H29" s="67">
        <f>IFERROR(SUMPRODUCT((Month_Col=$A29)*Billing_Days*Discharges)/C29,0)</f>
        <v/>
      </c>
      <c r="I29" s="27">
        <f>SUMIFS(Claims_Submitted,Month_Col,$A29)</f>
        <v/>
      </c>
      <c r="J29" s="27">
        <f>SUMIFS(Claims_Denied,Month_Col,$A29)</f>
        <v/>
      </c>
      <c r="K29" s="66">
        <f>IFERROR(J29/I29,0)</f>
        <v/>
      </c>
    </row>
    <row r="30">
      <c r="A30" s="70" t="n">
        <v>45992</v>
      </c>
      <c r="B30" s="27">
        <f>SUMIFS(Admissions,Month_Col,$A30)</f>
        <v/>
      </c>
      <c r="C30" s="27">
        <f>SUMIFS(Discharges,Month_Col,$A30)</f>
        <v/>
      </c>
      <c r="D30" s="27">
        <f>SUMIFS(Bed_Days,Month_Col,$A30)</f>
        <v/>
      </c>
      <c r="E30" s="27">
        <f>SUMIFS(Available_Bed_Days,Month_Col,$A30)</f>
        <v/>
      </c>
      <c r="F30" s="66">
        <f>IFERROR(D30/E30,0)</f>
        <v/>
      </c>
      <c r="G30" s="29">
        <f>IFERROR(D30/C30,0)</f>
        <v/>
      </c>
      <c r="H30" s="67">
        <f>IFERROR(SUMPRODUCT((Month_Col=$A30)*Billing_Days*Discharges)/C30,0)</f>
        <v/>
      </c>
      <c r="I30" s="27">
        <f>SUMIFS(Claims_Submitted,Month_Col,$A30)</f>
        <v/>
      </c>
      <c r="J30" s="27">
        <f>SUMIFS(Claims_Denied,Month_Col,$A30)</f>
        <v/>
      </c>
      <c r="K30" s="66">
        <f>IFERROR(J30/I30,0)</f>
        <v/>
      </c>
    </row>
    <row r="31">
      <c r="A31" s="23" t="inlineStr">
        <is>
          <t>Month labels in column A are the twelve first-of-month dates that appear in Data. They are the only typed-in values in this table (blue).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6" t="inlineStr">
        <is>
          <t>THRESHOLD MONITOR (latest month vs target)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1" t="inlineStr">
        <is>
          <t>Latest month in Data</t>
        </is>
      </c>
      <c r="B34" s="71">
        <f>MAX(Month_Col)</f>
        <v/>
      </c>
      <c r="C34" s="11" t="inlineStr">
        <is>
          <t>Amber tolerance</t>
        </is>
      </c>
      <c r="D34" s="72" t="n">
        <v>0.1</v>
      </c>
      <c r="E34" s="23" t="inlineStr">
        <is>
          <t>Amber = within this % of target on the wrong side. Illustrative - not sourced.</t>
        </is>
      </c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0" t="inlineStr">
        <is>
          <t>Metric</t>
        </is>
      </c>
      <c r="B36" s="10" t="inlineStr">
        <is>
          <t>Target</t>
        </is>
      </c>
      <c r="C36" s="10" t="inlineStr">
        <is>
          <t>Better when</t>
        </is>
      </c>
      <c r="D36" s="10" t="inlineStr">
        <is>
          <t>Latest month actual</t>
        </is>
      </c>
      <c r="E36" s="10" t="inlineStr">
        <is>
          <t>Status</t>
        </is>
      </c>
      <c r="F36" s="10" t="inlineStr">
        <is>
          <t>Note</t>
        </is>
      </c>
      <c r="G36" s="1" t="n"/>
      <c r="H36" s="1" t="n"/>
      <c r="I36" s="1" t="n"/>
      <c r="J36" s="1" t="n"/>
      <c r="K36" s="1" t="n"/>
    </row>
    <row r="37">
      <c r="A37" s="26" t="inlineStr">
        <is>
          <t>Avg LOS (days)</t>
        </is>
      </c>
      <c r="B37" s="25" t="n">
        <v>4.75</v>
      </c>
      <c r="C37" s="39" t="inlineStr">
        <is>
          <t>Lower</t>
        </is>
      </c>
      <c r="D37" s="29">
        <f>INDEX($G$19:$G$30,MATCH($B$34,Summary_Months,0))</f>
        <v/>
      </c>
      <c r="E37" s="40">
        <f>IF($C37="Lower",IF($D37&lt;=$B37,"Green",IF($D37&lt;=$B37*(1+$D$34),"Amber","Red")),IF($D37&gt;=$B37,"Green",IF($D37&gt;=$B37*(1-$D$34),"Amber","Red")))</f>
        <v/>
      </c>
      <c r="F37" s="41" t="inlineStr">
        <is>
          <t>Target is illustrative - not sourced. Set it from your own hospital's policy.</t>
        </is>
      </c>
      <c r="G37" s="1" t="n"/>
      <c r="H37" s="1" t="n"/>
      <c r="I37" s="1" t="n"/>
      <c r="J37" s="1" t="n"/>
      <c r="K37" s="1" t="n"/>
    </row>
    <row r="38">
      <c r="A38" s="26" t="inlineStr">
        <is>
          <t>Bed Occupancy Rate</t>
        </is>
      </c>
      <c r="B38" s="72" t="n">
        <v>0.85</v>
      </c>
      <c r="C38" s="39" t="inlineStr">
        <is>
          <t>Higher</t>
        </is>
      </c>
      <c r="D38" s="66">
        <f>INDEX($F$19:$F$30,MATCH($B$34,Summary_Months,0))</f>
        <v/>
      </c>
      <c r="E38" s="40">
        <f>IF($C38="Lower",IF($D38&lt;=$B38,"Green",IF($D38&lt;=$B38*(1+$D$34),"Amber","Red")),IF($D38&gt;=$B38,"Green",IF($D38&gt;=$B38*(1-$D$34),"Amber","Red")))</f>
        <v/>
      </c>
      <c r="F38" s="41" t="inlineStr">
        <is>
          <t>Target is illustrative - not sourced. Set it from your own hospital's policy.</t>
        </is>
      </c>
      <c r="G38" s="1" t="n"/>
      <c r="H38" s="1" t="n"/>
      <c r="I38" s="1" t="n"/>
      <c r="J38" s="1" t="n"/>
      <c r="K38" s="1" t="n"/>
    </row>
    <row r="39">
      <c r="A39" s="26" t="inlineStr">
        <is>
          <t>Discharges (count)</t>
        </is>
      </c>
      <c r="B39" s="42" t="n">
        <v>5000</v>
      </c>
      <c r="C39" s="39" t="inlineStr">
        <is>
          <t>Higher</t>
        </is>
      </c>
      <c r="D39" s="27">
        <f>INDEX($C$19:$C$30,MATCH($B$34,Summary_Months,0))</f>
        <v/>
      </c>
      <c r="E39" s="40">
        <f>IF($C39="Lower",IF($D39&lt;=$B39,"Green",IF($D39&lt;=$B39*(1+$D$34),"Amber","Red")),IF($D39&gt;=$B39,"Green",IF($D39&gt;=$B39*(1-$D$34),"Amber","Red")))</f>
        <v/>
      </c>
      <c r="F39" s="41" t="inlineStr">
        <is>
          <t>Target is illustrative - not sourced. Set it from your own hospital's policy.</t>
        </is>
      </c>
      <c r="G39" s="1" t="n"/>
      <c r="H39" s="1" t="n"/>
      <c r="I39" s="1" t="n"/>
      <c r="J39" s="1" t="n"/>
      <c r="K39" s="1" t="n"/>
    </row>
    <row r="40">
      <c r="A40" s="26" t="inlineStr">
        <is>
          <t>Billing Cycle (days)</t>
        </is>
      </c>
      <c r="B40" s="73" t="n">
        <v>8.5</v>
      </c>
      <c r="C40" s="39" t="inlineStr">
        <is>
          <t>Lower</t>
        </is>
      </c>
      <c r="D40" s="67">
        <f>INDEX($H$19:$H$30,MATCH($B$34,Summary_Months,0))</f>
        <v/>
      </c>
      <c r="E40" s="40">
        <f>IF($C40="Lower",IF($D40&lt;=$B40,"Green",IF($D40&lt;=$B40*(1+$D$34),"Amber","Red")),IF($D40&gt;=$B40,"Green",IF($D40&gt;=$B40*(1-$D$34),"Amber","Red")))</f>
        <v/>
      </c>
      <c r="F40" s="41" t="inlineStr">
        <is>
          <t>Target is illustrative - not sourced. Set it from your own hospital's policy.</t>
        </is>
      </c>
      <c r="G40" s="1" t="n"/>
      <c r="H40" s="1" t="n"/>
      <c r="I40" s="1" t="n"/>
      <c r="J40" s="1" t="n"/>
      <c r="K40" s="1" t="n"/>
    </row>
    <row r="41">
      <c r="A41" s="26" t="inlineStr">
        <is>
          <t>Claim Denial Rate</t>
        </is>
      </c>
      <c r="B41" s="72" t="n">
        <v>0.07000000000000001</v>
      </c>
      <c r="C41" s="39" t="inlineStr">
        <is>
          <t>Lower</t>
        </is>
      </c>
      <c r="D41" s="66">
        <f>INDEX($K$19:$K$30,MATCH($B$34,Summary_Months,0))</f>
        <v/>
      </c>
      <c r="E41" s="40">
        <f>IF($C41="Lower",IF($D41&lt;=$B41,"Green",IF($D41&lt;=$B41*(1+$D$34),"Amber","Red")),IF($D41&gt;=$B41,"Green",IF($D41&gt;=$B41*(1-$D$34),"Amber","Red")))</f>
        <v/>
      </c>
      <c r="F41" s="41" t="inlineStr">
        <is>
          <t>Target is illustrative - not sourced. Set it from your own hospital's policy.</t>
        </is>
      </c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6" t="inlineStr">
        <is>
          <t>Status logic (row 37 as text):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23" t="inlineStr">
        <is>
          <t>=IF(C37="Lower", IF(D37&lt;=B37,"Green", IF(D37&lt;=B37*(1+D34),"Amber","Red")), IF(D37&gt;=B37,"Green", IF(D37&gt;=B37*(1-D34),"Amber","Red")))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23" t="inlineStr">
        <is>
          <t>Latest month actual = INDEX(month table column, MATCH(latest month, Summary_Months, 0)). Change the target or tolerance (blue) and the flags update.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conditionalFormatting sqref="E37:E41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4" t="inlineStr">
        <is>
          <t>Operations Dashboard</t>
        </is>
      </c>
      <c r="B1" s="1" t="n"/>
      <c r="C1" s="1" t="n"/>
      <c r="D1" s="1" t="n"/>
      <c r="E1" s="1" t="n"/>
    </row>
    <row r="2">
      <c r="A2" s="17">
        <f>CONCATENATE("Latest month: ",TEXT(Summary!$B$34,"mmm yyyy"))</f>
        <v/>
      </c>
      <c r="B2" s="1" t="n"/>
      <c r="C2" s="1" t="n"/>
      <c r="D2" s="1" t="n"/>
      <c r="E2" s="1" t="n"/>
    </row>
    <row r="3">
      <c r="A3" s="11" t="inlineStr">
        <is>
          <t>Current month</t>
        </is>
      </c>
      <c r="B3" s="71">
        <f>Summary!$B$34</f>
        <v/>
      </c>
      <c r="C3" s="23" t="inlineStr">
        <is>
          <t>Row in month table</t>
        </is>
      </c>
      <c r="D3" s="44">
        <f>MATCH(B3,Summary_Months,0)</f>
        <v/>
      </c>
      <c r="E3" s="1" t="n"/>
    </row>
    <row r="4">
      <c r="A4" s="11" t="inlineStr">
        <is>
          <t>Prior month</t>
        </is>
      </c>
      <c r="B4" s="74">
        <f>EDATE(B3,-1)</f>
        <v/>
      </c>
      <c r="C4" s="23" t="inlineStr">
        <is>
          <t>(INDEX/MATCH keys)</t>
        </is>
      </c>
      <c r="D4" s="44">
        <f>MATCH(B4,Summary_Months,0)</f>
        <v/>
      </c>
      <c r="E4" s="1" t="n"/>
    </row>
    <row r="5">
      <c r="A5" s="1" t="n"/>
      <c r="B5" s="1" t="n"/>
      <c r="C5" s="1" t="n"/>
      <c r="D5" s="1" t="n"/>
      <c r="E5" s="1" t="n"/>
    </row>
    <row r="6">
      <c r="A6" s="10" t="inlineStr">
        <is>
          <t>KPI</t>
        </is>
      </c>
      <c r="B6" s="10" t="inlineStr">
        <is>
          <t>Current month</t>
        </is>
      </c>
      <c r="C6" s="10" t="inlineStr">
        <is>
          <t>Prior month</t>
        </is>
      </c>
      <c r="D6" s="10" t="inlineStr">
        <is>
          <t>Variance</t>
        </is>
      </c>
      <c r="E6" s="10" t="inlineStr">
        <is>
          <t>Variance %</t>
        </is>
      </c>
    </row>
    <row r="7" ht="22" customHeight="1">
      <c r="A7" s="46" t="inlineStr">
        <is>
          <t>Avg Length of Stay (days)</t>
        </is>
      </c>
      <c r="B7" s="47">
        <f>INDEX(Summary!$G$19:$G$30,$D$3)</f>
        <v/>
      </c>
      <c r="C7" s="48">
        <f>INDEX(Summary!$G$19:$G$30,$D$4)</f>
        <v/>
      </c>
      <c r="D7" s="75">
        <f>B7-C7</f>
        <v/>
      </c>
      <c r="E7" s="76">
        <f>IFERROR(D7/C7,0)</f>
        <v/>
      </c>
    </row>
    <row r="8" ht="22" customHeight="1">
      <c r="A8" s="46" t="inlineStr">
        <is>
          <t>Bed Occupancy Rate</t>
        </is>
      </c>
      <c r="B8" s="77">
        <f>INDEX(Summary!$F$19:$F$30,$D$3)</f>
        <v/>
      </c>
      <c r="C8" s="78">
        <f>INDEX(Summary!$F$19:$F$30,$D$4)</f>
        <v/>
      </c>
      <c r="D8" s="76">
        <f>B8-C8</f>
        <v/>
      </c>
      <c r="E8" s="76">
        <f>IFERROR(D8/C8,0)</f>
        <v/>
      </c>
    </row>
    <row r="9" ht="22" customHeight="1">
      <c r="A9" s="46" t="inlineStr">
        <is>
          <t>Admissions</t>
        </is>
      </c>
      <c r="B9" s="53">
        <f>INDEX(Summary!$B$19:$B$30,$D$3)</f>
        <v/>
      </c>
      <c r="C9" s="54">
        <f>INDEX(Summary!$B$19:$B$30,$D$4)</f>
        <v/>
      </c>
      <c r="D9" s="79">
        <f>B9-C9</f>
        <v/>
      </c>
      <c r="E9" s="76">
        <f>IFERROR(D9/C9,0)</f>
        <v/>
      </c>
    </row>
    <row r="10" ht="22" customHeight="1">
      <c r="A10" s="46" t="inlineStr">
        <is>
          <t>Discharges</t>
        </is>
      </c>
      <c r="B10" s="53">
        <f>INDEX(Summary!$C$19:$C$30,$D$3)</f>
        <v/>
      </c>
      <c r="C10" s="54">
        <f>INDEX(Summary!$C$19:$C$30,$D$4)</f>
        <v/>
      </c>
      <c r="D10" s="79">
        <f>B10-C10</f>
        <v/>
      </c>
      <c r="E10" s="76">
        <f>IFERROR(D10/C10,0)</f>
        <v/>
      </c>
    </row>
    <row r="11" ht="22" customHeight="1">
      <c r="A11" s="46" t="inlineStr">
        <is>
          <t>Billing Cycle Time (days)</t>
        </is>
      </c>
      <c r="B11" s="80">
        <f>INDEX(Summary!$H$19:$H$30,$D$3)</f>
        <v/>
      </c>
      <c r="C11" s="81">
        <f>INDEX(Summary!$H$19:$H$30,$D$4)</f>
        <v/>
      </c>
      <c r="D11" s="75">
        <f>B11-C11</f>
        <v/>
      </c>
      <c r="E11" s="76">
        <f>IFERROR(D11/C11,0)</f>
        <v/>
      </c>
    </row>
    <row r="12" ht="22" customHeight="1">
      <c r="A12" s="46" t="inlineStr">
        <is>
          <t>Claim Denial Rate</t>
        </is>
      </c>
      <c r="B12" s="77">
        <f>INDEX(Summary!$K$19:$K$30,$D$3)</f>
        <v/>
      </c>
      <c r="C12" s="78">
        <f>INDEX(Summary!$K$19:$K$30,$D$4)</f>
        <v/>
      </c>
      <c r="D12" s="76">
        <f>B12-C12</f>
        <v/>
      </c>
      <c r="E12" s="76">
        <f>IFERROR(D12/C12,0)</f>
        <v/>
      </c>
    </row>
    <row r="13">
      <c r="A13" s="23" t="inlineStr">
        <is>
          <t>Current = INDEX(Summary month-table column, row of latest month). Prior = same with EDATE(latest, -1).</t>
        </is>
      </c>
      <c r="B13" s="1" t="n"/>
      <c r="C13" s="1" t="n"/>
      <c r="D13" s="1" t="n"/>
      <c r="E13" s="1" t="n"/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  <col width="52" customWidth="1" min="4" max="4"/>
  </cols>
  <sheetData>
    <row r="1">
      <c r="A1" s="24" t="inlineStr">
        <is>
          <t>Metric Definitions</t>
        </is>
      </c>
      <c r="B1" s="1" t="n"/>
      <c r="C1" s="1" t="n"/>
      <c r="D1" s="1" t="n"/>
    </row>
    <row r="2">
      <c r="A2" s="58" t="inlineStr">
        <is>
          <t>Starter text. Rewrite every cell in your own words before this file goes anywhere near an application. Yellow cells are yours to edit.</t>
        </is>
      </c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10" t="inlineStr">
        <is>
          <t>Metric</t>
        </is>
      </c>
      <c r="B4" s="10" t="inlineStr">
        <is>
          <t>Formula in words</t>
        </is>
      </c>
      <c r="C4" s="10" t="inlineStr">
        <is>
          <t>Why it matters operationally</t>
        </is>
      </c>
      <c r="D4" s="10" t="inlineStr">
        <is>
          <t>Common pitfall</t>
        </is>
      </c>
    </row>
    <row r="5" ht="62" customHeight="1">
      <c r="A5" s="59" t="inlineStr">
        <is>
          <t>Average Length of Stay (days)</t>
        </is>
      </c>
      <c r="B5" s="60" t="inlineStr">
        <is>
          <t>Total bed days used in the period divided by discharges in the period.</t>
        </is>
      </c>
      <c r="C5" s="60" t="inlineStr">
        <is>
          <t>Drives bed capacity. A half-day reduction across a busy ward frees beds without building any.</t>
        </is>
      </c>
      <c r="D5" s="60" t="inlineStr">
        <is>
          <t>Averaging department averages instead of weighting by discharges. Also: including patients still in the bed (no discharge yet) distorts the numerator.</t>
        </is>
      </c>
    </row>
    <row r="6" ht="62" customHeight="1">
      <c r="A6" s="59" t="inlineStr">
        <is>
          <t>Bed Occupancy Rate (%)</t>
        </is>
      </c>
      <c r="B6" s="60" t="inlineStr">
        <is>
          <t>Bed days used divided by bed days available (staffed beds x days in month).</t>
        </is>
      </c>
      <c r="C6" s="60" t="inlineStr">
        <is>
          <t>Too low wastes fixed cost; too high (above roughly 85-90%) means no slack for emergencies and longer ED waits.</t>
        </is>
      </c>
      <c r="D6" s="60" t="inlineStr">
        <is>
          <t>Using licensed beds instead of staffed beds in the denominator. Mid-month bed closures also break a fixed-capacity assumption.</t>
        </is>
      </c>
    </row>
    <row r="7" ht="62" customHeight="1">
      <c r="A7" s="59" t="inlineStr">
        <is>
          <t>Admissions and Discharges (counts)</t>
        </is>
      </c>
      <c r="B7" s="60" t="inlineStr">
        <is>
          <t>Number of patients admitted, and number discharged, in the period.</t>
        </is>
      </c>
      <c r="C7" s="60" t="inlineStr">
        <is>
          <t>Throughput. When discharges lag admissions the census rises and occupancy climbs.</t>
        </is>
      </c>
      <c r="D7" s="60" t="inlineStr">
        <is>
          <t>Counting transfers between departments as new admissions, which double counts the patient at network level.</t>
        </is>
      </c>
    </row>
    <row r="8" ht="62" customHeight="1">
      <c r="A8" s="59" t="inlineStr">
        <is>
          <t>Billing Cycle Time (days)</t>
        </is>
      </c>
      <c r="B8" s="60" t="inlineStr">
        <is>
          <t>Days from discharge date to the date the final bill is raised, averaged over discharges.</t>
        </is>
      </c>
      <c r="C8" s="60" t="inlineStr">
        <is>
          <t>Every day of delay is cash the hospital has not collected. Also a proxy for documentation quality.</t>
        </is>
      </c>
      <c r="D8" s="60" t="inlineStr">
        <is>
          <t>Measuring from admission instead of discharge, which mixes clinical LOS into a finance metric.</t>
        </is>
      </c>
    </row>
    <row r="9" ht="62" customHeight="1">
      <c r="A9" s="59" t="inlineStr">
        <is>
          <t>Claim Denial Rate (%)</t>
        </is>
      </c>
      <c r="B9" s="60" t="inlineStr">
        <is>
          <t>Claims denied by the payer divided by claims submitted, in the period.</t>
        </is>
      </c>
      <c r="C9" s="60" t="inlineStr">
        <is>
          <t>Denied claims mean rework, delayed cash, and sometimes write-offs. Department-level rates point to coding or documentation gaps.</t>
        </is>
      </c>
      <c r="D9" s="60" t="inlineStr">
        <is>
          <t>Counting first-pass denials and final denials together. Many first-pass denials are overturned on resubmission.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2026-09-07T01:22:31Z</dcterms:created>
  <dcterms:modified xmlns:dcterms="http://purl.org/dc/terms/" xmlns:xsi="http://www.w3.org/2001/XMLSchema-instance" xsi:type="dcterms:W3CDTF">2026-09-07T01:22:52Z</dcterms:modified>
</cp:coreProperties>
</file>